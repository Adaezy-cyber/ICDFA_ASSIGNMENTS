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Risk Calc" sheetId="3" state="visible" r:id="rId5"/>
    <sheet name="Control Analysis" sheetId="4" state="visible" r:id="rId6"/>
    <sheet name="Charts" sheetId="5" state="visible" r:id="rId7"/>
    <sheet name="Dashboard" sheetId="6" state="visible" r:id="rId8"/>
    <sheet name="Gantt" sheetId="7" state="visible" r:id="rId9"/>
    <sheet name="Bonus" sheetId="8" state="visible" r:id="rId10"/>
    <sheet name="Chart Data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<sst xmlns="http://schemas.openxmlformats.org/spreadsheetml/2006/main" count="293" uniqueCount="230">
  <si>
    <t xml:space="preserve">Lab 3b: Cybersecurity Risk Quantification - SecureBank Financial / SecureMobile</t>
  </si>
  <si>
    <t xml:space="preserve">Purpose</t>
  </si>
  <si>
    <t xml:space="preserve">Quantifies financial risk of three critical findings, evaluates three controls, and supports the executive briefing.</t>
  </si>
  <si>
    <t xml:space="preserve">How to use</t>
  </si>
  <si>
    <t xml:space="preserve">Change numbers only on the Inputs tab (blue text). Every other tab recalculates from it.</t>
  </si>
  <si>
    <t xml:space="preserve">Colour code</t>
  </si>
  <si>
    <t xml:space="preserve">Blue = input from the lab dataset or analyst assumption | Black = formula | Green = link to another sheet.</t>
  </si>
  <si>
    <t xml:space="preserve">Tab</t>
  </si>
  <si>
    <t xml:space="preserve">What it covers</t>
  </si>
  <si>
    <t xml:space="preserve">Inputs</t>
  </si>
  <si>
    <t xml:space="preserve">Dataset from the lab sheet, plus thresholds, budget and horizon assumptions.</t>
  </si>
  <si>
    <t xml:space="preserve">Risk Calc</t>
  </si>
  <si>
    <t xml:space="preserve">Tasks 1-2: SLE, ARO, ALE, risk priority matrix, residual ALE, and the risk heat map grid (Task 3).</t>
  </si>
  <si>
    <t xml:space="preserve">Control Analysis</t>
  </si>
  <si>
    <t xml:space="preserve">Task 4: initial cost, maintenance, risk reduction, ROI, payback for each control.</t>
  </si>
  <si>
    <t xml:space="preserve">Charts</t>
  </si>
  <si>
    <t xml:space="preserve">Tasks 3 and 5: ALE bar, risk distribution pie, cost vs effectiveness scatter, ROI bar, risk reduction line.</t>
  </si>
  <si>
    <t xml:space="preserve">Dashboard</t>
  </si>
  <si>
    <t xml:space="preserve">Task 6: one-page executive dashboard with the three required charts.</t>
  </si>
  <si>
    <t xml:space="preserve">Gantt</t>
  </si>
  <si>
    <t xml:space="preserve">Task 7: risk treatment timeline (30 days / 90 days / 1 year).</t>
  </si>
  <si>
    <t xml:space="preserve">Bonus</t>
  </si>
  <si>
    <t xml:space="preserve">Optimal control selection under a budget and combined risk-control matrix.</t>
  </si>
  <si>
    <t xml:space="preserve">Chart Data</t>
  </si>
  <si>
    <t xml:space="preserve">Helper ranges that feed the charts. No inputs here.</t>
  </si>
  <si>
    <t xml:space="preserve">Key assumptions</t>
  </si>
  <si>
    <t xml:space="preserve">1</t>
  </si>
  <si>
    <t xml:space="preserve">SLE for Finding 1 = stated maximum single-incident loss ($5M). Finding 2 SLE = records x cost per record. Finding 3 SLE = accounts at risk x average loss per account.</t>
  </si>
  <si>
    <t xml:space="preserve">2</t>
  </si>
  <si>
    <t xml:space="preserve">ARO = stated exploit probability (one expected exploitation attempt per year at that likelihood).</t>
  </si>
  <si>
    <t xml:space="preserve">3</t>
  </si>
  <si>
    <t xml:space="preserve">Each control is applied only to the finding it addresses (mapping on Inputs, column F). Effectiveness % is taken as given.</t>
  </si>
  <si>
    <t xml:space="preserve">4</t>
  </si>
  <si>
    <t xml:space="preserve">Risk reduction = ALE x effectiveness. Year-1 cost = initial cost + one year of maintenance. ROI = (benefit - cost) / cost.</t>
  </si>
  <si>
    <t xml:space="preserve">5</t>
  </si>
  <si>
    <t xml:space="preserve">Payback (months) = initial cost / (annual risk reduction - annual maintenance) x 12.</t>
  </si>
  <si>
    <t xml:space="preserve">6</t>
  </si>
  <si>
    <t xml:space="preserve">Risk-level thresholds on Inputs (rows 24-30) are analyst assumptions, not given in the lab. Change them and priorities update.</t>
  </si>
  <si>
    <t xml:space="preserve">7</t>
  </si>
  <si>
    <t xml:space="preserve">Limitation: Finding 1 has a 48-hour detection window. At the stated volumes the real loss could exceed the $5M cap, so Finding 1 may be understated.</t>
  </si>
  <si>
    <t xml:space="preserve">8</t>
  </si>
  <si>
    <t xml:space="preserve">Limitation: the WAF is credited with 75% of the injection ALE, so its ROI is very large. The vulnerability should still be fixed in code; a WAF is a compensating control.</t>
  </si>
  <si>
    <t xml:space="preserve">Inputs - Lab 3b dataset and assumptions</t>
  </si>
  <si>
    <t xml:space="preserve">Blue cells are inputs. Source: Lab 3b dataset unless marked 'assumption'.</t>
  </si>
  <si>
    <t xml:space="preserve">System context</t>
  </si>
  <si>
    <t xml:space="preserve">Platform</t>
  </si>
  <si>
    <t xml:space="preserve">SecureMobile</t>
  </si>
  <si>
    <t xml:space="preserve">Active customers</t>
  </si>
  <si>
    <t xml:space="preserve">Average transaction ($)</t>
  </si>
  <si>
    <t xml:space="preserve">Daily transactions</t>
  </si>
  <si>
    <t xml:space="preserve">Vulnerability findings</t>
  </si>
  <si>
    <t xml:space="preserve">#</t>
  </si>
  <si>
    <t xml:space="preserve">Finding</t>
  </si>
  <si>
    <t xml:space="preserve">Exploit probability</t>
  </si>
  <si>
    <t xml:space="preserve">Max single incident loss ($)</t>
  </si>
  <si>
    <t xml:space="preserve">Records at risk</t>
  </si>
  <si>
    <t xml:space="preserve">Cost per record ($)</t>
  </si>
  <si>
    <t xml:space="preserve">Accounts at risk</t>
  </si>
  <si>
    <t xml:space="preserve">Avg loss per account ($)</t>
  </si>
  <si>
    <t xml:space="preserve">Systems affected</t>
  </si>
  <si>
    <t xml:space="preserve">Potential impact</t>
  </si>
  <si>
    <t xml:space="preserve">Est. detection (hrs)</t>
  </si>
  <si>
    <t xml:space="preserve">API Authentication Bypass</t>
  </si>
  <si>
    <t xml:space="preserve">Transaction processing system</t>
  </si>
  <si>
    <t xml:space="preserve">Unauthorized fund transfers</t>
  </si>
  <si>
    <t xml:space="preserve">Database Injection</t>
  </si>
  <si>
    <t xml:space="preserve">Customer database</t>
  </si>
  <si>
    <t xml:space="preserve">Data breach (PII + financial data)</t>
  </si>
  <si>
    <t xml:space="preserve">Session Hijacking</t>
  </si>
  <si>
    <t xml:space="preserve">User sessions</t>
  </si>
  <si>
    <t xml:space="preserve">Account takeover</t>
  </si>
  <si>
    <t xml:space="preserve">Control options</t>
  </si>
  <si>
    <t xml:space="preserve">Control</t>
  </si>
  <si>
    <t xml:space="preserve">Initial cost ($)</t>
  </si>
  <si>
    <t xml:space="preserve">Effectiveness</t>
  </si>
  <si>
    <t xml:space="preserve">Annual maintenance ($)</t>
  </si>
  <si>
    <t xml:space="preserve">Addresses finding #</t>
  </si>
  <si>
    <t xml:space="preserve">Mapping rationale (assumption)</t>
  </si>
  <si>
    <t xml:space="preserve">Advanced API Security Gateway</t>
  </si>
  <si>
    <t xml:space="preserve">Targets API vulnerabilities (Finding 1)</t>
  </si>
  <si>
    <t xml:space="preserve">Web Application Firewall (WAF)</t>
  </si>
  <si>
    <t xml:space="preserve">Blocks web-layer injection attacks (Finding 2)</t>
  </si>
  <si>
    <t xml:space="preserve">Multi-Factor Authentication Enhancement</t>
  </si>
  <si>
    <t xml:space="preserve">Reduces account takeover (Finding 3)</t>
  </si>
  <si>
    <t xml:space="preserve">Analysis parameters (analyst assumptions)</t>
  </si>
  <si>
    <t xml:space="preserve">Critical priority: ALE at or above ($)</t>
  </si>
  <si>
    <t xml:space="preserve">Assumption</t>
  </si>
  <si>
    <t xml:space="preserve">High priority: ALE at or above ($)</t>
  </si>
  <si>
    <t xml:space="preserve">Medium priority: ALE at or above ($)</t>
  </si>
  <si>
    <t xml:space="preserve">Assumption; below this = Low</t>
  </si>
  <si>
    <t xml:space="preserve">Probability 'High' at or above</t>
  </si>
  <si>
    <t xml:space="preserve">Assumption for heat map</t>
  </si>
  <si>
    <t xml:space="preserve">Probability 'Medium' at or above</t>
  </si>
  <si>
    <t xml:space="preserve">Assumption for heat map; below = Low</t>
  </si>
  <si>
    <t xml:space="preserve">Impact 'High' (SLE) at or above ($)</t>
  </si>
  <si>
    <t xml:space="preserve">Impact 'Medium' (SLE) at or above ($)</t>
  </si>
  <si>
    <t xml:space="preserve">Analysis horizon (years)</t>
  </si>
  <si>
    <t xml:space="preserve">Assumption for multi-year ROI</t>
  </si>
  <si>
    <t xml:space="preserve">Minimum Year-1 ROI to recommend a control</t>
  </si>
  <si>
    <t xml:space="preserve">Assumption (hurdle rate)</t>
  </si>
  <si>
    <t xml:space="preserve">Year-1 security budget for Bonus ($)</t>
  </si>
  <si>
    <t xml:space="preserve">Assumption; not given in lab. Edit to test scenarios</t>
  </si>
  <si>
    <t xml:space="preserve">Phase 1 - Risk exposure (Tasks 1-2) and heat map (Task 3)</t>
  </si>
  <si>
    <t xml:space="preserve">ALE = SLE x ARO. Thresholds are set on Inputs rows 24-30.</t>
  </si>
  <si>
    <t xml:space="preserve">Vulnerability</t>
  </si>
  <si>
    <t xml:space="preserve">SLE ($)</t>
  </si>
  <si>
    <t xml:space="preserve">ARO</t>
  </si>
  <si>
    <t xml:space="preserve">ALE ($)</t>
  </si>
  <si>
    <t xml:space="preserve">% of total ALE</t>
  </si>
  <si>
    <t xml:space="preserve">Rank</t>
  </si>
  <si>
    <t xml:space="preserve">Risk priority</t>
  </si>
  <si>
    <t xml:space="preserve">Probability level</t>
  </si>
  <si>
    <t xml:space="preserve">Impact level</t>
  </si>
  <si>
    <t xml:space="preserve">Heat rating</t>
  </si>
  <si>
    <t xml:space="preserve">Residual ALE after controls ($)</t>
  </si>
  <si>
    <t xml:space="preserve">SLE basis</t>
  </si>
  <si>
    <t xml:space="preserve">Stated maximum single-incident loss</t>
  </si>
  <si>
    <t xml:space="preserve">500,000 records x $250 per record</t>
  </si>
  <si>
    <t xml:space="preserve">5,000 accounts x $1,500 per account</t>
  </si>
  <si>
    <t xml:space="preserve">Total</t>
  </si>
  <si>
    <t xml:space="preserve">Total SLE is a sum of independent worst cases, shown for reference only</t>
  </si>
  <si>
    <t xml:space="preserve">Risk heat map: probability (rows) x impact / SLE (columns). F1-F3 = finding numbers.</t>
  </si>
  <si>
    <t xml:space="preserve">Probability \ Impact</t>
  </si>
  <si>
    <t xml:space="preserve">Low</t>
  </si>
  <si>
    <t xml:space="preserve">Medium</t>
  </si>
  <si>
    <t xml:space="preserve">High</t>
  </si>
  <si>
    <t xml:space="preserve">Key:</t>
  </si>
  <si>
    <t xml:space="preserve">High risk</t>
  </si>
  <si>
    <t xml:space="preserve">Medium risk</t>
  </si>
  <si>
    <t xml:space="preserve">Low risk</t>
  </si>
  <si>
    <t xml:space="preserve">Phase 2 - Control cost-benefit analysis (Task 4)</t>
  </si>
  <si>
    <t xml:space="preserve">Risk reduction = ALE of addressed finding x effectiveness. ROI = (benefit - cost) / cost.</t>
  </si>
  <si>
    <t xml:space="preserve">Finding #</t>
  </si>
  <si>
    <t xml:space="preserve">Finding addressed</t>
  </si>
  <si>
    <t xml:space="preserve">Target ALE ($)</t>
  </si>
  <si>
    <t xml:space="preserve">Annual risk reduction ($)</t>
  </si>
  <si>
    <t xml:space="preserve">Initial investment ($)</t>
  </si>
  <si>
    <t xml:space="preserve">Year-1 cost ($)</t>
  </si>
  <si>
    <t xml:space="preserve">Year-1 ROI</t>
  </si>
  <si>
    <t xml:space="preserve">Payback (months)</t>
  </si>
  <si>
    <t xml:space="preserve">Payback (days)</t>
  </si>
  <si>
    <t xml:space="preserve">Multi-year cost ($)</t>
  </si>
  <si>
    <t xml:space="preserve">Multi-year benefit ($)</t>
  </si>
  <si>
    <t xml:space="preserve">Multi-year ROI</t>
  </si>
  <si>
    <t xml:space="preserve">Net annual benefit ($)</t>
  </si>
  <si>
    <t xml:space="preserve">Recommendation</t>
  </si>
  <si>
    <t xml:space="preserve">Total (all three controls)</t>
  </si>
  <si>
    <t xml:space="preserve">Portfolio summary</t>
  </si>
  <si>
    <t xml:space="preserve">Total annual exposure before controls ($)</t>
  </si>
  <si>
    <t xml:space="preserve">Annual risk reduction from all controls ($)</t>
  </si>
  <si>
    <t xml:space="preserve">Residual annual exposure after controls ($)</t>
  </si>
  <si>
    <t xml:space="preserve">Exposure reduction (%)</t>
  </si>
  <si>
    <t xml:space="preserve">Year-1 investment ($)</t>
  </si>
  <si>
    <t xml:space="preserve">Year-1 portfolio ROI</t>
  </si>
  <si>
    <t xml:space="preserve">Charts - Tasks 3 and 5</t>
  </si>
  <si>
    <t xml:space="preserve">All charts update from the Inputs tab.</t>
  </si>
  <si>
    <t xml:space="preserve">SecureBank Financial - SecureMobile Platform: Executive Risk Dashboard</t>
  </si>
  <si>
    <t xml:space="preserve">Prepared for the CISO and CFO | Lab 3b quantitative risk analysis | All figures in USD per year unless stated</t>
  </si>
  <si>
    <t xml:space="preserve">Total annual exposure</t>
  </si>
  <si>
    <t xml:space="preserve">Residual exposure after controls</t>
  </si>
  <si>
    <t xml:space="preserve">Annual risk reduction</t>
  </si>
  <si>
    <t xml:space="preserve">Year-1 investment</t>
  </si>
  <si>
    <t xml:space="preserve">Portfolio Year-1 ROI</t>
  </si>
  <si>
    <t xml:space="preserve">Top 3 risks by financial impact</t>
  </si>
  <si>
    <t xml:space="preserve">Priority</t>
  </si>
  <si>
    <t xml:space="preserve">Recommended controls</t>
  </si>
  <si>
    <t xml:space="preserve">Decision</t>
  </si>
  <si>
    <t xml:space="preserve">Key messages</t>
  </si>
  <si>
    <t xml:space="preserve">Task 7 - Risk treatment timeline (Gantt)</t>
  </si>
  <si>
    <t xml:space="preserve">Edit start day and duration (blue); bars update. Each column = one week. Day 0 = approval date.</t>
  </si>
  <si>
    <t xml:space="preserve">Week start day:</t>
  </si>
  <si>
    <t xml:space="preserve">Phase</t>
  </si>
  <si>
    <t xml:space="preserve">Task</t>
  </si>
  <si>
    <t xml:space="preserve">Addresses</t>
  </si>
  <si>
    <t xml:space="preserve">Start day</t>
  </si>
  <si>
    <t xml:space="preserve">Duration (days)</t>
  </si>
  <si>
    <t xml:space="preserve">End day</t>
  </si>
  <si>
    <t xml:space="preserve">Immediate (0-30 days)</t>
  </si>
  <si>
    <t xml:space="preserve">Emergency virtual patching and WAF rules for injection flaw</t>
  </si>
  <si>
    <t xml:space="preserve">Finding 2</t>
  </si>
  <si>
    <t xml:space="preserve">Deploy Web Application Firewall (WAF)</t>
  </si>
  <si>
    <t xml:space="preserve">Fix SQL injection in code (parameterized queries, input validation)</t>
  </si>
  <si>
    <t xml:space="preserve">Interim API rate limiting, logging and alerting (cut 48-hour detection)</t>
  </si>
  <si>
    <t xml:space="preserve">Finding 1</t>
  </si>
  <si>
    <t xml:space="preserve">Short-term (31-90 days)</t>
  </si>
  <si>
    <t xml:space="preserve">Select vendor and design API Security Gateway</t>
  </si>
  <si>
    <t xml:space="preserve">Pilot and roll out MFA enhancement</t>
  </si>
  <si>
    <t xml:space="preserve">Finding 3</t>
  </si>
  <si>
    <t xml:space="preserve">Targeted re-test of injection and session fixes</t>
  </si>
  <si>
    <t xml:space="preserve">Findings 2, 3</t>
  </si>
  <si>
    <t xml:space="preserve">Long-term (91-365 days)</t>
  </si>
  <si>
    <t xml:space="preserve">Implement and cut over API Security Gateway</t>
  </si>
  <si>
    <t xml:space="preserve">Continuous monitoring and quarterly vulnerability scanning</t>
  </si>
  <si>
    <t xml:space="preserve">All findings</t>
  </si>
  <si>
    <t xml:space="preserve">Full penetration re-test and residual risk review</t>
  </si>
  <si>
    <t xml:space="preserve">Annual risk quantification refresh and board report</t>
  </si>
  <si>
    <t xml:space="preserve">Legend:</t>
  </si>
  <si>
    <t xml:space="preserve">Bonus - Optimal control selection and combined risk-control matrix</t>
  </si>
  <si>
    <t xml:space="preserve">Tests all 8 combinations of controls against the Year-1 budget on Inputs (B33).</t>
  </si>
  <si>
    <t xml:space="preserve">Year-1 budget ($)</t>
  </si>
  <si>
    <t xml:space="preserve">Option analysis (1 = control selected)</t>
  </si>
  <si>
    <t xml:space="preserve">Option</t>
  </si>
  <si>
    <t xml:space="preserve">Net Year-1 benefit ($)</t>
  </si>
  <si>
    <t xml:space="preserve">Within budget?</t>
  </si>
  <si>
    <t xml:space="preserve">Eligible net benefit ($)</t>
  </si>
  <si>
    <t xml:space="preserve">Residual exposure ($)</t>
  </si>
  <si>
    <t xml:space="preserve">No controls</t>
  </si>
  <si>
    <t xml:space="preserve">API Gateway only</t>
  </si>
  <si>
    <t xml:space="preserve">WAF only</t>
  </si>
  <si>
    <t xml:space="preserve">MFA only</t>
  </si>
  <si>
    <t xml:space="preserve">API Gateway + WAF</t>
  </si>
  <si>
    <t xml:space="preserve">API Gateway + MFA</t>
  </si>
  <si>
    <t xml:space="preserve">WAF + MFA</t>
  </si>
  <si>
    <t xml:space="preserve">All three</t>
  </si>
  <si>
    <t xml:space="preserve">Optimal option under budget</t>
  </si>
  <si>
    <t xml:space="preserve">Combined risk-control matrix</t>
  </si>
  <si>
    <t xml:space="preserve">Current ALE ($)</t>
  </si>
  <si>
    <t xml:space="preserve">Control Year-1 cost ($)</t>
  </si>
  <si>
    <t xml:space="preserve">Residual ALE ($)</t>
  </si>
  <si>
    <t xml:space="preserve">Benefit / cost ratio</t>
  </si>
  <si>
    <t xml:space="preserve">Selected under budget?</t>
  </si>
  <si>
    <t xml:space="preserve">Note: the budget is an assumption (not in the lab). Selection maximises net Year-1 benefit among combinations whose Year-1 cost fits the budget.</t>
  </si>
  <si>
    <t xml:space="preserve">Chart data (helper ranges - do not edit)</t>
  </si>
  <si>
    <t xml:space="preserve">All values link to the analysis tabs.</t>
  </si>
  <si>
    <t xml:space="preserve">Cumulative net benefit by year ($) = annual risk reduction x year - (initial + maintenance x year)</t>
  </si>
  <si>
    <t xml:space="preserve">Year</t>
  </si>
  <si>
    <t xml:space="preserve">All three controls</t>
  </si>
  <si>
    <t xml:space="preserve">Exposure before vs after controls</t>
  </si>
  <si>
    <t xml:space="preserve">Control investment breakdown (Year 1)</t>
  </si>
  <si>
    <t xml:space="preserve">Year-1 ROI by control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</si>
</sst>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\$#,##0;&quot;($&quot;#,##0\);\-"/>
    <numFmt numFmtId="167" formatCode="#,##0%"/>
    <numFmt numFmtId="168" formatCode="0"/>
    <numFmt numFmtId="169" formatCode="0%"/>
    <numFmt numFmtId="170" formatCode="General"/>
    <numFmt numFmtId="171" formatCode="0.0%"/>
    <numFmt numFmtId="172" formatCode="0.0"/>
    <numFmt numFmtId="173" formatCode="\$#,##0"/>
    <numFmt numFmtId="174" formatCode="#,##0.0\x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5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7"/>
      <color rgb="FF808080"/>
      <name val="Arial"/>
      <family val="0"/>
      <charset val="1"/>
    </font>
    <font>
      <sz val="6"/>
      <color rgb="FF808080"/>
      <name val="Arial"/>
      <family val="0"/>
      <charset val="1"/>
    </font>
    <font>
      <b val="true"/>
      <sz val="7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FFCC"/>
      </patternFill>
    </fill>
    <fill>
      <patternFill patternType="solid">
        <fgColor rgb="FFD9E1F2"/>
        <bgColor rgb="FFDDEBF7"/>
      </patternFill>
    </fill>
    <fill>
      <patternFill patternType="solid">
        <fgColor rgb="FFFFC000"/>
        <bgColor rgb="FFFF9900"/>
      </patternFill>
    </fill>
    <fill>
      <patternFill patternType="solid">
        <fgColor rgb="FFF8696B"/>
        <bgColor rgb="FFED7D31"/>
      </patternFill>
    </fill>
    <fill>
      <patternFill patternType="solid">
        <fgColor rgb="FF92D050"/>
        <bgColor rgb="FF9BBB59"/>
      </patternFill>
    </fill>
    <fill>
      <patternFill patternType="solid">
        <fgColor rgb="FF2E75B6"/>
        <bgColor rgb="FF4F81BD"/>
      </patternFill>
    </fill>
    <fill>
      <patternFill patternType="solid">
        <fgColor rgb="FFDDEBF7"/>
        <bgColor rgb="FFD9E1F2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8696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F8696B"/>
        </patternFill>
      </fill>
    </dxf>
    <dxf>
      <fill>
        <patternFill>
          <bgColor rgb="FFF4B183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ED7D31"/>
        </patternFill>
      </fill>
    </dxf>
    <dxf>
      <fill>
        <patternFill>
          <bgColor rgb="FF2E75B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C0504D"/>
      <rgbColor rgb="FFFFFFCC"/>
      <rgbColor rgb="FFDDEBF7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0B4"/>
      <rgbColor rgb="FFFFFF99"/>
      <rgbColor rgb="FF9BBB59"/>
      <rgbColor rgb="FFF4B183"/>
      <rgbColor rgb="FFCC99FF"/>
      <rgbColor rgb="FFFFE699"/>
      <rgbColor rgb="FF2E75B6"/>
      <rgbColor rgb="FF33CCCC"/>
      <rgbColor rgb="FF92D050"/>
      <rgbColor rgb="FFFFC000"/>
      <rgbColor rgb="FFFF9900"/>
      <rgbColor rgb="FFED7D31"/>
      <rgbColor rgb="FF595959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Annualized Loss Expectancy by Vulnerability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'Risk Calc'!E4</c:f>
              <c:strCache>
                <c:ptCount val="1"/>
                <c:pt idx="0">
                  <c:v>ALE ($)</c:v>
                </c:pt>
              </c:strCache>
            </c:strRef>
          </c:tx>
          <c:spPr>
            <a:solidFill>
              <a:srgbClr val="c00000"/>
            </a:solidFill>
            <a:ln w="0">
              <a:solidFill>
                <a:srgbClr val="c00000"/>
              </a:solidFill>
            </a:ln>
          </c:spPr>
          <c:invertIfNegative val="0"/>
          <c:dLbls>
            <c:numFmt formatCode="\$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Calc'!$B$5:$B$7</c:f>
              <c:strCache>
                <c:ptCount val="3"/>
                <c:pt idx="0">
                  <c:v>API Authentication Bypass</c:v>
                </c:pt>
                <c:pt idx="1">
                  <c:v>Database Injection</c:v>
                </c:pt>
                <c:pt idx="2">
                  <c:v>Session Hijacking</c:v>
                </c:pt>
              </c:strCache>
            </c:strRef>
          </c:cat>
          <c:val>
            <c:numRef>
              <c:f>'Risk Calc'!$E$5:$E$7</c:f>
              <c:numCache>
                <c:formatCode>\$#,##0;"($"#,##0\);\-</c:formatCode>
                <c:ptCount val="3"/>
                <c:pt idx="0">
                  <c:v>750000</c:v>
                </c:pt>
                <c:pt idx="1">
                  <c:v>31250000</c:v>
                </c:pt>
                <c:pt idx="2">
                  <c:v>3000000</c:v>
                </c:pt>
              </c:numCache>
            </c:numRef>
          </c:val>
        </c:ser>
        <c:gapWidth val="150"/>
        <c:overlap val="0"/>
        <c:axId val="56708215"/>
        <c:axId val="18570381"/>
      </c:barChart>
      <c:catAx>
        <c:axId val="567082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Vulnerability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570381"/>
        <c:crosses val="autoZero"/>
        <c:auto val="1"/>
        <c:lblAlgn val="ctr"/>
        <c:lblOffset val="100"/>
        <c:noMultiLvlLbl val="0"/>
      </c:catAx>
      <c:valAx>
        <c:axId val="185703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ALE ($ per year)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7082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Risk Distribution (share of total ALE)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'Risk Calc'!E4</c:f>
              <c:strCache>
                <c:ptCount val="1"/>
                <c:pt idx="0">
                  <c:v>ALE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'Risk Calc'!$B$5:$B$7</c:f>
              <c:strCache>
                <c:ptCount val="3"/>
                <c:pt idx="0">
                  <c:v>API Authentication Bypass</c:v>
                </c:pt>
                <c:pt idx="1">
                  <c:v>Database Injection</c:v>
                </c:pt>
                <c:pt idx="2">
                  <c:v>Session Hijacking</c:v>
                </c:pt>
              </c:strCache>
            </c:strRef>
          </c:cat>
          <c:val>
            <c:numRef>
              <c:f>'Risk Calc'!$E$5:$E$7</c:f>
              <c:numCache>
                <c:formatCode>\$#,##0;"($"#,##0\);\-</c:formatCode>
                <c:ptCount val="3"/>
                <c:pt idx="0">
                  <c:v>750000</c:v>
                </c:pt>
                <c:pt idx="1">
                  <c:v>31250000</c:v>
                </c:pt>
                <c:pt idx="2">
                  <c:v>3000000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Control Selection: Year-1 Cost vs Effectiveness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'Control Analysis'!$B$5</c:f>
              <c:strCache>
                <c:ptCount val="1"/>
                <c:pt idx="0">
                  <c:v>Advanced API Security Gateway</c:v>
                </c:pt>
              </c:strCache>
            </c:strRef>
          </c:tx>
          <c:spPr>
            <a:solidFill>
              <a:srgbClr val="2e75b6"/>
            </a:solidFill>
            <a:ln w="47520">
              <a:noFill/>
            </a:ln>
          </c:spPr>
          <c:marker>
            <c:symbol val="circle"/>
            <c:size val="12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'Control Analysis'!$J$5</c:f>
              <c:numCache>
                <c:formatCode>\$#,##0;"($"#,##0\);\-</c:formatCode>
                <c:ptCount val="1"/>
                <c:pt idx="0">
                  <c:v>400000</c:v>
                </c:pt>
              </c:numCache>
            </c:numRef>
          </c:xVal>
          <c:yVal>
            <c:numRef>
              <c:f>'Control Analysis'!$F$5</c:f>
              <c:numCache>
                <c:formatCode>0%</c:formatCode>
                <c:ptCount val="1"/>
                <c:pt idx="0">
                  <c:v>0.9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'Control Analysis'!$B$6</c:f>
              <c:strCache>
                <c:ptCount val="1"/>
                <c:pt idx="0">
                  <c:v>Web Application Firewall (WAF)</c:v>
                </c:pt>
              </c:strCache>
            </c:strRef>
          </c:tx>
          <c:spPr>
            <a:solidFill>
              <a:srgbClr val="c00000"/>
            </a:solidFill>
            <a:ln w="47520">
              <a:noFill/>
            </a:ln>
          </c:spPr>
          <c:marker>
            <c:symbol val="circle"/>
            <c:size val="12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'Control Analysis'!$J$6</c:f>
              <c:numCache>
                <c:formatCode>\$#,##0;"($"#,##0\);\-</c:formatCode>
                <c:ptCount val="1"/>
                <c:pt idx="0">
                  <c:v>175000</c:v>
                </c:pt>
              </c:numCache>
            </c:numRef>
          </c:xVal>
          <c:yVal>
            <c:numRef>
              <c:f>'Control Analysis'!$F$6</c:f>
              <c:numCache>
                <c:formatCode>0%</c:formatCode>
                <c:ptCount val="1"/>
                <c:pt idx="0">
                  <c:v>0.75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'Control Analysis'!$B$7</c:f>
              <c:strCache>
                <c:ptCount val="1"/>
                <c:pt idx="0">
                  <c:v>Multi-Factor Authentication Enhancement</c:v>
                </c:pt>
              </c:strCache>
            </c:strRef>
          </c:tx>
          <c:spPr>
            <a:solidFill>
              <a:srgbClr val="548235"/>
            </a:solidFill>
            <a:ln w="47520">
              <a:noFill/>
            </a:ln>
          </c:spPr>
          <c:marker>
            <c:symbol val="circle"/>
            <c:size val="12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'Control Analysis'!$J$7</c:f>
              <c:numCache>
                <c:formatCode>\$#,##0;"($"#,##0\);\-</c:formatCode>
                <c:ptCount val="1"/>
                <c:pt idx="0">
                  <c:v>230000</c:v>
                </c:pt>
              </c:numCache>
            </c:numRef>
          </c:xVal>
          <c:yVal>
            <c:numRef>
              <c:f>'Control Analysis'!$F$7</c:f>
              <c:numCache>
                <c:formatCode>0%</c:formatCode>
                <c:ptCount val="1"/>
                <c:pt idx="0">
                  <c:v>0.95</c:v>
                </c:pt>
              </c:numCache>
            </c:numRef>
          </c:yVal>
          <c:smooth val="1"/>
        </c:ser>
        <c:axId val="21040331"/>
        <c:axId val="76026505"/>
      </c:scatterChart>
      <c:valAx>
        <c:axId val="21040331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Year-1 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026505"/>
        <c:crosses val="autoZero"/>
        <c:crossBetween val="midCat"/>
      </c:valAx>
      <c:valAx>
        <c:axId val="76026505"/>
        <c:scaling>
          <c:orientation val="minMax"/>
          <c:max val="1"/>
          <c:min val="0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Effectiveness (risk reduction 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04033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Year-1 ROI by Control (log scale)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'Control Analysis'!K4</c:f>
              <c:strCache>
                <c:ptCount val="1"/>
                <c:pt idx="0">
                  <c:v>Year-1 ROI</c:v>
                </c:pt>
              </c:strCache>
            </c:strRef>
          </c:tx>
          <c:spPr>
            <a:solidFill>
              <a:srgbClr val="548235"/>
            </a:solidFill>
            <a:ln w="0">
              <a:solidFill>
                <a:srgbClr val="548235"/>
              </a:solidFill>
            </a:ln>
          </c:spPr>
          <c:invertIfNegative val="0"/>
          <c:dLbls>
            <c:numFmt formatCode="#,##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'Control Analysis'!$B$5:$B$7</c:f>
              <c:strCache>
                <c:ptCount val="3"/>
                <c:pt idx="0">
                  <c:v>Advanced API Security Gateway</c:v>
                </c:pt>
                <c:pt idx="1">
                  <c:v>Web Application Firewall (WAF)</c:v>
                </c:pt>
                <c:pt idx="2">
                  <c:v>Multi-Factor Authentication Enhancement</c:v>
                </c:pt>
              </c:strCache>
            </c:strRef>
          </c:cat>
          <c:val>
            <c:numRef>
              <c:f>'Control Analysis'!$K$5:$K$7</c:f>
              <c:numCache>
                <c:formatCode>#,##0%</c:formatCode>
                <c:ptCount val="3"/>
                <c:pt idx="0">
                  <c:v>0.6875</c:v>
                </c:pt>
                <c:pt idx="1">
                  <c:v>132.928571428571</c:v>
                </c:pt>
                <c:pt idx="2">
                  <c:v>11.3913043478261</c:v>
                </c:pt>
              </c:numCache>
            </c:numRef>
          </c:val>
        </c:ser>
        <c:gapWidth val="150"/>
        <c:overlap val="0"/>
        <c:axId val="27676119"/>
        <c:axId val="22664384"/>
      </c:barChart>
      <c:catAx>
        <c:axId val="2767611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Control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64384"/>
        <c:crosses val="autoZero"/>
        <c:auto val="1"/>
        <c:lblAlgn val="ctr"/>
        <c:lblOffset val="100"/>
        <c:noMultiLvlLbl val="0"/>
      </c:catAx>
      <c:valAx>
        <c:axId val="22664384"/>
        <c:scaling>
          <c:logBase val="10"/>
          <c:orientation val="minMax"/>
          <c:min val="0.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Year-1 ROI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6761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Net Benefit of Controls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 Data'!B4</c:f>
              <c:strCache>
                <c:ptCount val="1"/>
                <c:pt idx="0">
                  <c:v>Advanced API Security Gateway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Data'!$A$5:$A$10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'Chart Data'!$B$5:$B$10</c:f>
              <c:numCache>
                <c:formatCode>\$#,##0;"($"#,##0\);\-</c:formatCode>
                <c:ptCount val="6"/>
                <c:pt idx="0">
                  <c:v>-350000</c:v>
                </c:pt>
                <c:pt idx="1">
                  <c:v>275000</c:v>
                </c:pt>
                <c:pt idx="2">
                  <c:v>900000</c:v>
                </c:pt>
                <c:pt idx="3">
                  <c:v>1525000</c:v>
                </c:pt>
                <c:pt idx="4">
                  <c:v>2150000</c:v>
                </c:pt>
                <c:pt idx="5">
                  <c:v>2775000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'Chart Data'!C4</c:f>
              <c:strCache>
                <c:ptCount val="1"/>
                <c:pt idx="0">
                  <c:v>Web Application Firewall (WAF)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Data'!$A$5:$A$10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'Chart Data'!$C$5:$C$10</c:f>
              <c:numCache>
                <c:formatCode>\$#,##0;"($"#,##0\);\-</c:formatCode>
                <c:ptCount val="6"/>
                <c:pt idx="0">
                  <c:v>-150000</c:v>
                </c:pt>
                <c:pt idx="1">
                  <c:v>23262500</c:v>
                </c:pt>
                <c:pt idx="2">
                  <c:v>46675000</c:v>
                </c:pt>
                <c:pt idx="3">
                  <c:v>70087500</c:v>
                </c:pt>
                <c:pt idx="4">
                  <c:v>93500000</c:v>
                </c:pt>
                <c:pt idx="5">
                  <c:v>116912500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'Chart Data'!D4</c:f>
              <c:strCache>
                <c:ptCount val="1"/>
                <c:pt idx="0">
                  <c:v>Multi-Factor Authentication Enhancement</c:v>
                </c:pt>
              </c:strCache>
            </c:strRef>
          </c:tx>
          <c:spPr>
            <a:solidFill>
              <a:srgbClr val="548235"/>
            </a:solidFill>
            <a:ln w="2808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Data'!$A$5:$A$10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'Chart Data'!$D$5:$D$10</c:f>
              <c:numCache>
                <c:formatCode>\$#,##0;"($"#,##0\);\-</c:formatCode>
                <c:ptCount val="6"/>
                <c:pt idx="0">
                  <c:v>-200000</c:v>
                </c:pt>
                <c:pt idx="1">
                  <c:v>2620000</c:v>
                </c:pt>
                <c:pt idx="2">
                  <c:v>5440000</c:v>
                </c:pt>
                <c:pt idx="3">
                  <c:v>8260000</c:v>
                </c:pt>
                <c:pt idx="4">
                  <c:v>11080000</c:v>
                </c:pt>
                <c:pt idx="5">
                  <c:v>13900000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'Chart Data'!E4</c:f>
              <c:strCache>
                <c:ptCount val="1"/>
                <c:pt idx="0">
                  <c:v>All three controls</c:v>
                </c:pt>
              </c:strCache>
            </c:strRef>
          </c:tx>
          <c:spPr>
            <a:solidFill>
              <a:srgbClr val="000000"/>
            </a:solidFill>
            <a:ln w="2808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Data'!$A$5:$A$10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'Chart Data'!$E$5:$E$10</c:f>
              <c:numCache>
                <c:formatCode>\$#,##0;"($"#,##0\);\-</c:formatCode>
                <c:ptCount val="6"/>
                <c:pt idx="0">
                  <c:v>-700000</c:v>
                </c:pt>
                <c:pt idx="1">
                  <c:v>26157500</c:v>
                </c:pt>
                <c:pt idx="2">
                  <c:v>53015000</c:v>
                </c:pt>
                <c:pt idx="3">
                  <c:v>79872500</c:v>
                </c:pt>
                <c:pt idx="4">
                  <c:v>106730000</c:v>
                </c:pt>
                <c:pt idx="5">
                  <c:v>133587500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9042149"/>
        <c:axId val="31760760"/>
      </c:lineChart>
      <c:catAx>
        <c:axId val="290421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Years after investment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760760"/>
        <c:crosses val="autoZero"/>
        <c:auto val="1"/>
        <c:lblAlgn val="ctr"/>
        <c:lblOffset val="100"/>
        <c:noMultiLvlLbl val="0"/>
      </c:catAx>
      <c:valAx>
        <c:axId val="317607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net benefit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0421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Risk Exposure Before vs After Controls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Data'!B14</c:f>
              <c:strCache>
                <c:ptCount val="1"/>
                <c:pt idx="0">
                  <c:v>Current ALE ($)</c:v>
                </c:pt>
              </c:strCache>
            </c:strRef>
          </c:tx>
          <c:spPr>
            <a:solidFill>
              <a:srgbClr val="c00000"/>
            </a:solidFill>
            <a:ln w="0">
              <a:solidFill>
                <a:srgbClr val="c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Data'!$A$15:$A$17</c:f>
              <c:strCache>
                <c:ptCount val="3"/>
                <c:pt idx="0">
                  <c:v>API Authentication Bypass</c:v>
                </c:pt>
                <c:pt idx="1">
                  <c:v>Database Injection</c:v>
                </c:pt>
                <c:pt idx="2">
                  <c:v>Session Hijacking</c:v>
                </c:pt>
              </c:strCache>
            </c:strRef>
          </c:cat>
          <c:val>
            <c:numRef>
              <c:f>'Chart Data'!$B$15:$B$17</c:f>
              <c:numCache>
                <c:formatCode>\$#,##0;"($"#,##0\);\-</c:formatCode>
                <c:ptCount val="3"/>
                <c:pt idx="0">
                  <c:v>750000</c:v>
                </c:pt>
                <c:pt idx="1">
                  <c:v>31250000</c:v>
                </c:pt>
                <c:pt idx="2">
                  <c:v>3000000</c:v>
                </c:pt>
              </c:numCache>
            </c:numRef>
          </c:val>
        </c:ser>
        <c:ser>
          <c:idx val="1"/>
          <c:order val="1"/>
          <c:tx>
            <c:strRef>
              <c:f>'Chart Data'!C14</c:f>
              <c:strCache>
                <c:ptCount val="1"/>
                <c:pt idx="0">
                  <c:v>Residual ALE ($)</c:v>
                </c:pt>
              </c:strCache>
            </c:strRef>
          </c:tx>
          <c:spPr>
            <a:solidFill>
              <a:srgbClr val="548235"/>
            </a:solidFill>
            <a:ln w="0">
              <a:solidFill>
                <a:srgbClr val="54823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Data'!$A$15:$A$17</c:f>
              <c:strCache>
                <c:ptCount val="3"/>
                <c:pt idx="0">
                  <c:v>API Authentication Bypass</c:v>
                </c:pt>
                <c:pt idx="1">
                  <c:v>Database Injection</c:v>
                </c:pt>
                <c:pt idx="2">
                  <c:v>Session Hijacking</c:v>
                </c:pt>
              </c:strCache>
            </c:strRef>
          </c:cat>
          <c:val>
            <c:numRef>
              <c:f>'Chart Data'!$C$15:$C$17</c:f>
              <c:numCache>
                <c:formatCode>\$#,##0;"($"#,##0\);\-</c:formatCode>
                <c:ptCount val="3"/>
                <c:pt idx="0">
                  <c:v>75000</c:v>
                </c:pt>
                <c:pt idx="1">
                  <c:v>7812500</c:v>
                </c:pt>
                <c:pt idx="2">
                  <c:v>150000</c:v>
                </c:pt>
              </c:numCache>
            </c:numRef>
          </c:val>
        </c:ser>
        <c:gapWidth val="150"/>
        <c:overlap val="0"/>
        <c:axId val="82843036"/>
        <c:axId val="94405912"/>
      </c:barChart>
      <c:catAx>
        <c:axId val="828430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Vulnerability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405912"/>
        <c:crosses val="autoZero"/>
        <c:auto val="1"/>
        <c:lblAlgn val="ctr"/>
        <c:lblOffset val="100"/>
        <c:noMultiLvlLbl val="0"/>
      </c:catAx>
      <c:valAx>
        <c:axId val="944059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ALE ($ per year)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8430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Control Investment Breakdown (Year 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'Chart Data'!B21</c:f>
              <c:strCache>
                <c:ptCount val="1"/>
                <c:pt idx="0">
                  <c:v>Initial investment ($)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Data'!$A$22:$A$24</c:f>
              <c:strCache>
                <c:ptCount val="3"/>
                <c:pt idx="0">
                  <c:v>Advanced API Security Gateway</c:v>
                </c:pt>
                <c:pt idx="1">
                  <c:v>Web Application Firewall (WAF)</c:v>
                </c:pt>
                <c:pt idx="2">
                  <c:v>Multi-Factor Authentication Enhancement</c:v>
                </c:pt>
              </c:strCache>
            </c:strRef>
          </c:cat>
          <c:val>
            <c:numRef>
              <c:f>'Chart Data'!$B$22:$B$24</c:f>
              <c:numCache>
                <c:formatCode>\$#,##0;"($"#,##0\);\-</c:formatCode>
                <c:ptCount val="3"/>
                <c:pt idx="0">
                  <c:v>350000</c:v>
                </c:pt>
                <c:pt idx="1">
                  <c:v>150000</c:v>
                </c:pt>
                <c:pt idx="2">
                  <c:v>200000</c:v>
                </c:pt>
              </c:numCache>
            </c:numRef>
          </c:val>
        </c:ser>
        <c:ser>
          <c:idx val="1"/>
          <c:order val="1"/>
          <c:tx>
            <c:strRef>
              <c:f>'Chart Data'!C21</c:f>
              <c:strCache>
                <c:ptCount val="1"/>
                <c:pt idx="0">
                  <c:v>Annual maintenance ($)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ed7d31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Data'!$A$22:$A$24</c:f>
              <c:strCache>
                <c:ptCount val="3"/>
                <c:pt idx="0">
                  <c:v>Advanced API Security Gateway</c:v>
                </c:pt>
                <c:pt idx="1">
                  <c:v>Web Application Firewall (WAF)</c:v>
                </c:pt>
                <c:pt idx="2">
                  <c:v>Multi-Factor Authentication Enhancement</c:v>
                </c:pt>
              </c:strCache>
            </c:strRef>
          </c:cat>
          <c:val>
            <c:numRef>
              <c:f>'Chart Data'!$C$22:$C$24</c:f>
              <c:numCache>
                <c:formatCode>\$#,##0;"($"#,##0\);\-</c:formatCode>
                <c:ptCount val="3"/>
                <c:pt idx="0">
                  <c:v>50000</c:v>
                </c:pt>
                <c:pt idx="1">
                  <c:v>25000</c:v>
                </c:pt>
                <c:pt idx="2">
                  <c:v>30000</c:v>
                </c:pt>
              </c:numCache>
            </c:numRef>
          </c:val>
        </c:ser>
        <c:gapWidth val="150"/>
        <c:overlap val="100"/>
        <c:axId val="4826106"/>
        <c:axId val="35820244"/>
      </c:barChart>
      <c:catAx>
        <c:axId val="48261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Control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820244"/>
        <c:crosses val="autoZero"/>
        <c:auto val="1"/>
        <c:lblAlgn val="ctr"/>
        <c:lblOffset val="100"/>
        <c:noMultiLvlLbl val="0"/>
      </c:catAx>
      <c:valAx>
        <c:axId val="358202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261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ROI Comparison Across Controls (Year 1, log scale)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'Chart Data'!B28</c:f>
              <c:strCache>
                <c:ptCount val="1"/>
                <c:pt idx="0">
                  <c:v>Year-1 ROI</c:v>
                </c:pt>
              </c:strCache>
            </c:strRef>
          </c:tx>
          <c:spPr>
            <a:solidFill>
              <a:srgbClr val="548235"/>
            </a:solidFill>
            <a:ln w="0">
              <a:solidFill>
                <a:srgbClr val="548235"/>
              </a:solidFill>
            </a:ln>
          </c:spPr>
          <c:invertIfNegative val="0"/>
          <c:dLbls>
            <c:numFmt formatCode="#,##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Data'!$A$29:$A$31</c:f>
              <c:strCache>
                <c:ptCount val="3"/>
                <c:pt idx="0">
                  <c:v>Advanced API Security Gateway</c:v>
                </c:pt>
                <c:pt idx="1">
                  <c:v>Web Application Firewall (WAF)</c:v>
                </c:pt>
                <c:pt idx="2">
                  <c:v>Multi-Factor Authentication Enhancement</c:v>
                </c:pt>
              </c:strCache>
            </c:strRef>
          </c:cat>
          <c:val>
            <c:numRef>
              <c:f>'Chart Data'!$B$29:$B$31</c:f>
              <c:numCache>
                <c:formatCode>#,##0%</c:formatCode>
                <c:ptCount val="3"/>
                <c:pt idx="0">
                  <c:v>0.6875</c:v>
                </c:pt>
                <c:pt idx="1">
                  <c:v>132.928571428571</c:v>
                </c:pt>
                <c:pt idx="2">
                  <c:v>11.3913043478261</c:v>
                </c:pt>
              </c:numCache>
            </c:numRef>
          </c:val>
        </c:ser>
        <c:gapWidth val="150"/>
        <c:overlap val="0"/>
        <c:axId val="84146035"/>
        <c:axId val="8251742"/>
      </c:barChart>
      <c:catAx>
        <c:axId val="8414603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Control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51742"/>
        <c:crosses val="autoZero"/>
        <c:auto val="1"/>
        <c:lblAlgn val="ctr"/>
        <c:lblOffset val="100"/>
        <c:noMultiLvlLbl val="0"/>
      </c:catAx>
      <c:valAx>
        <c:axId val="8251742"/>
        <c:scaling>
          <c:logBase val="10"/>
          <c:orientation val="minMax"/>
          <c:min val="0.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Year-1 ROI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1460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9</xdr:col>
      <xdr:colOff>435960</xdr:colOff>
      <xdr:row>18</xdr:row>
      <xdr:rowOff>172440</xdr:rowOff>
    </xdr:to>
    <xdr:graphicFrame>
      <xdr:nvGraphicFramePr>
        <xdr:cNvPr id="0" name="Chart 1"/>
        <xdr:cNvGraphicFramePr/>
      </xdr:nvGraphicFramePr>
      <xdr:xfrm>
        <a:off x="0" y="571680"/>
        <a:ext cx="59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</xdr:row>
      <xdr:rowOff>160920</xdr:rowOff>
    </xdr:from>
    <xdr:to>
      <xdr:col>20</xdr:col>
      <xdr:colOff>435960</xdr:colOff>
      <xdr:row>18</xdr:row>
      <xdr:rowOff>172440</xdr:rowOff>
    </xdr:to>
    <xdr:graphicFrame>
      <xdr:nvGraphicFramePr>
        <xdr:cNvPr id="1" name="Chart 2"/>
        <xdr:cNvGraphicFramePr/>
      </xdr:nvGraphicFramePr>
      <xdr:xfrm>
        <a:off x="6726600" y="571680"/>
        <a:ext cx="59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160920</xdr:rowOff>
    </xdr:from>
    <xdr:to>
      <xdr:col>9</xdr:col>
      <xdr:colOff>435960</xdr:colOff>
      <xdr:row>37</xdr:row>
      <xdr:rowOff>172440</xdr:rowOff>
    </xdr:to>
    <xdr:graphicFrame>
      <xdr:nvGraphicFramePr>
        <xdr:cNvPr id="2" name="Chart 3"/>
        <xdr:cNvGraphicFramePr/>
      </xdr:nvGraphicFramePr>
      <xdr:xfrm>
        <a:off x="0" y="4191120"/>
        <a:ext cx="59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21</xdr:row>
      <xdr:rowOff>160920</xdr:rowOff>
    </xdr:from>
    <xdr:to>
      <xdr:col>20</xdr:col>
      <xdr:colOff>435960</xdr:colOff>
      <xdr:row>37</xdr:row>
      <xdr:rowOff>172440</xdr:rowOff>
    </xdr:to>
    <xdr:graphicFrame>
      <xdr:nvGraphicFramePr>
        <xdr:cNvPr id="3" name="Chart 4"/>
        <xdr:cNvGraphicFramePr/>
      </xdr:nvGraphicFramePr>
      <xdr:xfrm>
        <a:off x="6726600" y="4191120"/>
        <a:ext cx="59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40</xdr:row>
      <xdr:rowOff>160560</xdr:rowOff>
    </xdr:from>
    <xdr:to>
      <xdr:col>9</xdr:col>
      <xdr:colOff>435960</xdr:colOff>
      <xdr:row>56</xdr:row>
      <xdr:rowOff>172440</xdr:rowOff>
    </xdr:to>
    <xdr:graphicFrame>
      <xdr:nvGraphicFramePr>
        <xdr:cNvPr id="4" name="Chart 5"/>
        <xdr:cNvGraphicFramePr/>
      </xdr:nvGraphicFramePr>
      <xdr:xfrm>
        <a:off x="0" y="7810560"/>
        <a:ext cx="59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4</xdr:col>
      <xdr:colOff>81720</xdr:colOff>
      <xdr:row>34</xdr:row>
      <xdr:rowOff>21960</xdr:rowOff>
    </xdr:to>
    <xdr:graphicFrame>
      <xdr:nvGraphicFramePr>
        <xdr:cNvPr id="5" name="Chart 1"/>
        <xdr:cNvGraphicFramePr/>
      </xdr:nvGraphicFramePr>
      <xdr:xfrm>
        <a:off x="0" y="4390920"/>
        <a:ext cx="55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19</xdr:row>
      <xdr:rowOff>0</xdr:rowOff>
    </xdr:from>
    <xdr:to>
      <xdr:col>9</xdr:col>
      <xdr:colOff>645480</xdr:colOff>
      <xdr:row>34</xdr:row>
      <xdr:rowOff>21960</xdr:rowOff>
    </xdr:to>
    <xdr:graphicFrame>
      <xdr:nvGraphicFramePr>
        <xdr:cNvPr id="6" name="Chart 2"/>
        <xdr:cNvGraphicFramePr/>
      </xdr:nvGraphicFramePr>
      <xdr:xfrm>
        <a:off x="6625440" y="4390920"/>
        <a:ext cx="55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36</xdr:row>
      <xdr:rowOff>0</xdr:rowOff>
    </xdr:from>
    <xdr:to>
      <xdr:col>4</xdr:col>
      <xdr:colOff>81720</xdr:colOff>
      <xdr:row>51</xdr:row>
      <xdr:rowOff>21960</xdr:rowOff>
    </xdr:to>
    <xdr:graphicFrame>
      <xdr:nvGraphicFramePr>
        <xdr:cNvPr id="7" name="Chart 3"/>
        <xdr:cNvGraphicFramePr/>
      </xdr:nvGraphicFramePr>
      <xdr:xfrm>
        <a:off x="0" y="7629480"/>
        <a:ext cx="55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4" customFormat="false" ht="15" hidden="false" customHeight="false" outlineLevel="0" collapsed="false">
      <c r="A4" s="2" t="s">
        <v>1</v>
      </c>
      <c r="B4" s="3" t="s">
        <v>2</v>
      </c>
    </row>
    <row r="5" customFormat="false" ht="15" hidden="false" customHeight="false" outlineLevel="0" collapsed="false">
      <c r="A5" s="2" t="s">
        <v>3</v>
      </c>
      <c r="B5" s="3" t="s">
        <v>4</v>
      </c>
    </row>
    <row r="6" customFormat="false" ht="15" hidden="false" customHeight="false" outlineLevel="0" collapsed="false">
      <c r="A6" s="2" t="s">
        <v>5</v>
      </c>
      <c r="B6" s="3" t="s">
        <v>6</v>
      </c>
    </row>
    <row r="7" customFormat="false" ht="15" hidden="false" customHeight="false" outlineLevel="0" collapsed="false">
      <c r="A7" s="3"/>
      <c r="B7" s="3"/>
    </row>
    <row r="8" customFormat="false" ht="15" hidden="false" customHeight="false" outlineLevel="0" collapsed="false">
      <c r="A8" s="2" t="s">
        <v>7</v>
      </c>
      <c r="B8" s="2" t="s">
        <v>8</v>
      </c>
    </row>
    <row r="9" customFormat="false" ht="15" hidden="false" customHeight="false" outlineLevel="0" collapsed="false">
      <c r="A9" s="3" t="s">
        <v>9</v>
      </c>
      <c r="B9" s="3" t="s">
        <v>10</v>
      </c>
    </row>
    <row r="10" customFormat="false" ht="15" hidden="false" customHeight="false" outlineLevel="0" collapsed="false">
      <c r="A10" s="3" t="s">
        <v>11</v>
      </c>
      <c r="B10" s="3" t="s">
        <v>12</v>
      </c>
    </row>
    <row r="11" customFormat="false" ht="15" hidden="false" customHeight="false" outlineLevel="0" collapsed="false">
      <c r="A11" s="3" t="s">
        <v>13</v>
      </c>
      <c r="B11" s="3" t="s">
        <v>14</v>
      </c>
    </row>
    <row r="12" customFormat="false" ht="15" hidden="false" customHeight="false" outlineLevel="0" collapsed="false">
      <c r="A12" s="3" t="s">
        <v>15</v>
      </c>
      <c r="B12" s="3" t="s">
        <v>16</v>
      </c>
    </row>
    <row r="13" customFormat="false" ht="15" hidden="false" customHeight="false" outlineLevel="0" collapsed="false">
      <c r="A13" s="3" t="s">
        <v>17</v>
      </c>
      <c r="B13" s="3" t="s">
        <v>18</v>
      </c>
    </row>
    <row r="14" customFormat="false" ht="15" hidden="false" customHeight="false" outlineLevel="0" collapsed="false">
      <c r="A14" s="3" t="s">
        <v>19</v>
      </c>
      <c r="B14" s="3" t="s">
        <v>20</v>
      </c>
    </row>
    <row r="15" customFormat="false" ht="15" hidden="false" customHeight="false" outlineLevel="0" collapsed="false">
      <c r="A15" s="3" t="s">
        <v>21</v>
      </c>
      <c r="B15" s="3" t="s">
        <v>22</v>
      </c>
    </row>
    <row r="16" customFormat="false" ht="15" hidden="false" customHeight="false" outlineLevel="0" collapsed="false">
      <c r="A16" s="3" t="s">
        <v>23</v>
      </c>
      <c r="B16" s="3" t="s">
        <v>24</v>
      </c>
    </row>
    <row r="17" customFormat="false" ht="15" hidden="false" customHeight="false" outlineLevel="0" collapsed="false">
      <c r="A17" s="3"/>
      <c r="B17" s="3"/>
    </row>
    <row r="18" customFormat="false" ht="15" hidden="false" customHeight="false" outlineLevel="0" collapsed="false">
      <c r="A18" s="2" t="s">
        <v>25</v>
      </c>
      <c r="B18" s="3"/>
    </row>
    <row r="19" customFormat="false" ht="23.85" hidden="false" customHeight="false" outlineLevel="0" collapsed="false">
      <c r="A19" s="3" t="s">
        <v>26</v>
      </c>
      <c r="B19" s="3" t="s">
        <v>27</v>
      </c>
    </row>
    <row r="20" customFormat="false" ht="15" hidden="false" customHeight="false" outlineLevel="0" collapsed="false">
      <c r="A20" s="3" t="s">
        <v>28</v>
      </c>
      <c r="B20" s="3" t="s">
        <v>29</v>
      </c>
    </row>
    <row r="21" customFormat="false" ht="15" hidden="false" customHeight="false" outlineLevel="0" collapsed="false">
      <c r="A21" s="3" t="s">
        <v>30</v>
      </c>
      <c r="B21" s="3" t="s">
        <v>31</v>
      </c>
    </row>
    <row r="22" customFormat="false" ht="15" hidden="false" customHeight="false" outlineLevel="0" collapsed="false">
      <c r="A22" s="3" t="s">
        <v>32</v>
      </c>
      <c r="B22" s="3" t="s">
        <v>33</v>
      </c>
    </row>
    <row r="23" customFormat="false" ht="15" hidden="false" customHeight="false" outlineLevel="0" collapsed="false">
      <c r="A23" s="3" t="s">
        <v>34</v>
      </c>
      <c r="B23" s="3" t="s">
        <v>35</v>
      </c>
    </row>
    <row r="24" customFormat="false" ht="15" hidden="false" customHeight="false" outlineLevel="0" collapsed="false">
      <c r="A24" s="3" t="s">
        <v>36</v>
      </c>
      <c r="B24" s="3" t="s">
        <v>37</v>
      </c>
    </row>
    <row r="25" customFormat="false" ht="23.85" hidden="false" customHeight="false" outlineLevel="0" collapsed="false">
      <c r="A25" s="3" t="s">
        <v>38</v>
      </c>
      <c r="B25" s="3" t="s">
        <v>39</v>
      </c>
    </row>
    <row r="26" customFormat="false" ht="23.85" hidden="false" customHeight="false" outlineLevel="0" collapsed="false">
      <c r="A26" s="3" t="s">
        <v>40</v>
      </c>
      <c r="B26" s="3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6" min="5" style="0" width="18"/>
    <col collapsed="false" customWidth="true" hidden="false" outlineLevel="0" max="7" min="7" style="0" width="36"/>
    <col collapsed="false" customWidth="true" hidden="false" outlineLevel="0" max="8" min="8" style="0" width="18"/>
    <col collapsed="false" customWidth="true" hidden="false" outlineLevel="0" max="9" min="9" style="0" width="28"/>
    <col collapsed="false" customWidth="true" hidden="false" outlineLevel="0" max="10" min="10" style="0" width="30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4" t="s">
        <v>43</v>
      </c>
    </row>
    <row r="4" customFormat="false" ht="15" hidden="false" customHeight="false" outlineLevel="0" collapsed="false">
      <c r="A4" s="5" t="s">
        <v>44</v>
      </c>
    </row>
    <row r="5" customFormat="false" ht="15" hidden="false" customHeight="false" outlineLevel="0" collapsed="false">
      <c r="A5" s="6" t="s">
        <v>45</v>
      </c>
      <c r="B5" s="7" t="s">
        <v>46</v>
      </c>
    </row>
    <row r="6" customFormat="false" ht="15" hidden="false" customHeight="false" outlineLevel="0" collapsed="false">
      <c r="A6" s="6" t="s">
        <v>47</v>
      </c>
      <c r="B6" s="8" t="n">
        <v>500000</v>
      </c>
    </row>
    <row r="7" customFormat="false" ht="15" hidden="false" customHeight="false" outlineLevel="0" collapsed="false">
      <c r="A7" s="6" t="s">
        <v>48</v>
      </c>
      <c r="B7" s="9" t="n">
        <v>2500</v>
      </c>
    </row>
    <row r="8" customFormat="false" ht="15" hidden="false" customHeight="false" outlineLevel="0" collapsed="false">
      <c r="A8" s="6" t="s">
        <v>49</v>
      </c>
      <c r="B8" s="8" t="n">
        <v>50000</v>
      </c>
    </row>
    <row r="11" customFormat="false" ht="15" hidden="false" customHeight="false" outlineLevel="0" collapsed="false">
      <c r="A11" s="5" t="s">
        <v>50</v>
      </c>
    </row>
    <row r="12" customFormat="false" ht="31.5" hidden="false" customHeight="true" outlineLevel="0" collapsed="false">
      <c r="A12" s="10" t="s">
        <v>51</v>
      </c>
      <c r="B12" s="10" t="s">
        <v>52</v>
      </c>
      <c r="C12" s="10" t="s">
        <v>53</v>
      </c>
      <c r="D12" s="10" t="s">
        <v>54</v>
      </c>
      <c r="E12" s="10" t="s">
        <v>55</v>
      </c>
      <c r="F12" s="10" t="s">
        <v>56</v>
      </c>
      <c r="G12" s="10" t="s">
        <v>57</v>
      </c>
      <c r="H12" s="10" t="s">
        <v>58</v>
      </c>
      <c r="I12" s="10" t="s">
        <v>59</v>
      </c>
      <c r="J12" s="10" t="s">
        <v>60</v>
      </c>
      <c r="K12" s="10" t="s">
        <v>61</v>
      </c>
    </row>
    <row r="13" customFormat="false" ht="15" hidden="false" customHeight="false" outlineLevel="0" collapsed="false">
      <c r="A13" s="6" t="n">
        <v>1</v>
      </c>
      <c r="B13" s="7" t="s">
        <v>62</v>
      </c>
      <c r="C13" s="11" t="n">
        <v>0.15</v>
      </c>
      <c r="D13" s="9" t="n">
        <v>5000000</v>
      </c>
      <c r="E13" s="8"/>
      <c r="F13" s="9"/>
      <c r="G13" s="8"/>
      <c r="H13" s="9"/>
      <c r="I13" s="12" t="s">
        <v>63</v>
      </c>
      <c r="J13" s="12" t="s">
        <v>64</v>
      </c>
      <c r="K13" s="13" t="n">
        <v>48</v>
      </c>
    </row>
    <row r="14" customFormat="false" ht="15" hidden="false" customHeight="false" outlineLevel="0" collapsed="false">
      <c r="A14" s="6" t="n">
        <v>2</v>
      </c>
      <c r="B14" s="7" t="s">
        <v>65</v>
      </c>
      <c r="C14" s="11" t="n">
        <v>0.25</v>
      </c>
      <c r="D14" s="9"/>
      <c r="E14" s="8" t="n">
        <v>500000</v>
      </c>
      <c r="F14" s="9" t="n">
        <v>250</v>
      </c>
      <c r="G14" s="8"/>
      <c r="H14" s="9"/>
      <c r="I14" s="12" t="s">
        <v>66</v>
      </c>
      <c r="J14" s="12" t="s">
        <v>67</v>
      </c>
      <c r="K14" s="13"/>
    </row>
    <row r="15" customFormat="false" ht="15" hidden="false" customHeight="false" outlineLevel="0" collapsed="false">
      <c r="A15" s="6" t="n">
        <v>3</v>
      </c>
      <c r="B15" s="7" t="s">
        <v>68</v>
      </c>
      <c r="C15" s="11" t="n">
        <v>0.4</v>
      </c>
      <c r="D15" s="9"/>
      <c r="E15" s="8"/>
      <c r="F15" s="9"/>
      <c r="G15" s="8" t="n">
        <v>5000</v>
      </c>
      <c r="H15" s="9" t="n">
        <v>1500</v>
      </c>
      <c r="I15" s="12" t="s">
        <v>69</v>
      </c>
      <c r="J15" s="12" t="s">
        <v>70</v>
      </c>
      <c r="K15" s="13"/>
    </row>
    <row r="17" customFormat="false" ht="15" hidden="false" customHeight="false" outlineLevel="0" collapsed="false">
      <c r="A17" s="5" t="s">
        <v>71</v>
      </c>
    </row>
    <row r="18" customFormat="false" ht="31.5" hidden="false" customHeight="true" outlineLevel="0" collapsed="false">
      <c r="A18" s="10" t="s">
        <v>51</v>
      </c>
      <c r="B18" s="10" t="s">
        <v>72</v>
      </c>
      <c r="C18" s="10" t="s">
        <v>73</v>
      </c>
      <c r="D18" s="10" t="s">
        <v>74</v>
      </c>
      <c r="E18" s="10" t="s">
        <v>75</v>
      </c>
      <c r="F18" s="10" t="s">
        <v>76</v>
      </c>
      <c r="G18" s="10" t="s">
        <v>77</v>
      </c>
    </row>
    <row r="19" customFormat="false" ht="15" hidden="false" customHeight="false" outlineLevel="0" collapsed="false">
      <c r="A19" s="6" t="n">
        <v>1</v>
      </c>
      <c r="B19" s="7" t="s">
        <v>78</v>
      </c>
      <c r="C19" s="9" t="n">
        <v>350000</v>
      </c>
      <c r="D19" s="14" t="n">
        <v>0.9</v>
      </c>
      <c r="E19" s="9" t="n">
        <v>50000</v>
      </c>
      <c r="F19" s="13" t="n">
        <v>1</v>
      </c>
      <c r="G19" s="12" t="s">
        <v>79</v>
      </c>
    </row>
    <row r="20" customFormat="false" ht="23.85" hidden="false" customHeight="false" outlineLevel="0" collapsed="false">
      <c r="A20" s="6" t="n">
        <v>2</v>
      </c>
      <c r="B20" s="7" t="s">
        <v>80</v>
      </c>
      <c r="C20" s="9" t="n">
        <v>150000</v>
      </c>
      <c r="D20" s="14" t="n">
        <v>0.75</v>
      </c>
      <c r="E20" s="9" t="n">
        <v>25000</v>
      </c>
      <c r="F20" s="13" t="n">
        <v>2</v>
      </c>
      <c r="G20" s="12" t="s">
        <v>81</v>
      </c>
    </row>
    <row r="21" customFormat="false" ht="15" hidden="false" customHeight="false" outlineLevel="0" collapsed="false">
      <c r="A21" s="6" t="n">
        <v>3</v>
      </c>
      <c r="B21" s="7" t="s">
        <v>82</v>
      </c>
      <c r="C21" s="9" t="n">
        <v>200000</v>
      </c>
      <c r="D21" s="14" t="n">
        <v>0.95</v>
      </c>
      <c r="E21" s="9" t="n">
        <v>30000</v>
      </c>
      <c r="F21" s="13" t="n">
        <v>3</v>
      </c>
      <c r="G21" s="12" t="s">
        <v>83</v>
      </c>
    </row>
    <row r="23" customFormat="false" ht="15" hidden="false" customHeight="false" outlineLevel="0" collapsed="false">
      <c r="A23" s="5" t="s">
        <v>84</v>
      </c>
    </row>
    <row r="24" customFormat="false" ht="15" hidden="false" customHeight="false" outlineLevel="0" collapsed="false">
      <c r="A24" s="6" t="s">
        <v>85</v>
      </c>
      <c r="B24" s="15" t="n">
        <v>10000000</v>
      </c>
      <c r="C24" s="4" t="s">
        <v>86</v>
      </c>
    </row>
    <row r="25" customFormat="false" ht="15" hidden="false" customHeight="false" outlineLevel="0" collapsed="false">
      <c r="A25" s="6" t="s">
        <v>87</v>
      </c>
      <c r="B25" s="15" t="n">
        <v>1000000</v>
      </c>
      <c r="C25" s="4" t="s">
        <v>86</v>
      </c>
    </row>
    <row r="26" customFormat="false" ht="15" hidden="false" customHeight="false" outlineLevel="0" collapsed="false">
      <c r="A26" s="6" t="s">
        <v>88</v>
      </c>
      <c r="B26" s="15" t="n">
        <v>500000</v>
      </c>
      <c r="C26" s="4" t="s">
        <v>89</v>
      </c>
    </row>
    <row r="27" customFormat="false" ht="15" hidden="false" customHeight="false" outlineLevel="0" collapsed="false">
      <c r="A27" s="6" t="s">
        <v>90</v>
      </c>
      <c r="B27" s="16" t="n">
        <v>0.3</v>
      </c>
      <c r="C27" s="4" t="s">
        <v>91</v>
      </c>
    </row>
    <row r="28" customFormat="false" ht="15" hidden="false" customHeight="false" outlineLevel="0" collapsed="false">
      <c r="A28" s="6" t="s">
        <v>92</v>
      </c>
      <c r="B28" s="16" t="n">
        <v>0.15</v>
      </c>
      <c r="C28" s="4" t="s">
        <v>93</v>
      </c>
    </row>
    <row r="29" customFormat="false" ht="15" hidden="false" customHeight="false" outlineLevel="0" collapsed="false">
      <c r="A29" s="6" t="s">
        <v>94</v>
      </c>
      <c r="B29" s="15" t="n">
        <v>50000000</v>
      </c>
      <c r="C29" s="4" t="s">
        <v>91</v>
      </c>
    </row>
    <row r="30" customFormat="false" ht="15" hidden="false" customHeight="false" outlineLevel="0" collapsed="false">
      <c r="A30" s="6" t="s">
        <v>95</v>
      </c>
      <c r="B30" s="15" t="n">
        <v>5000000</v>
      </c>
      <c r="C30" s="4" t="s">
        <v>93</v>
      </c>
    </row>
    <row r="31" customFormat="false" ht="15" hidden="false" customHeight="false" outlineLevel="0" collapsed="false">
      <c r="A31" s="6" t="s">
        <v>96</v>
      </c>
      <c r="B31" s="17" t="n">
        <v>3</v>
      </c>
      <c r="C31" s="4" t="s">
        <v>97</v>
      </c>
    </row>
    <row r="32" customFormat="false" ht="15" hidden="false" customHeight="false" outlineLevel="0" collapsed="false">
      <c r="A32" s="6" t="s">
        <v>98</v>
      </c>
      <c r="B32" s="16" t="n">
        <v>0.5</v>
      </c>
      <c r="C32" s="4" t="s">
        <v>99</v>
      </c>
    </row>
    <row r="33" customFormat="false" ht="15" hidden="false" customHeight="false" outlineLevel="0" collapsed="false">
      <c r="A33" s="6" t="s">
        <v>100</v>
      </c>
      <c r="B33" s="15" t="n">
        <v>500000</v>
      </c>
      <c r="C33" s="4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10" min="8" style="0" width="14"/>
    <col collapsed="false" customWidth="true" hidden="false" outlineLevel="0" max="11" min="11" style="0" width="12"/>
    <col collapsed="false" customWidth="true" hidden="false" outlineLevel="0" max="12" min="12" style="0" width="22"/>
    <col collapsed="false" customWidth="true" hidden="false" outlineLevel="0" max="13" min="13" style="0" width="50"/>
  </cols>
  <sheetData>
    <row r="1" customFormat="false" ht="17.35" hidden="false" customHeight="false" outlineLevel="0" collapsed="false">
      <c r="A1" s="1" t="s">
        <v>102</v>
      </c>
    </row>
    <row r="2" customFormat="false" ht="15" hidden="false" customHeight="false" outlineLevel="0" collapsed="false">
      <c r="A2" s="4" t="s">
        <v>103</v>
      </c>
    </row>
    <row r="4" customFormat="false" ht="31.5" hidden="false" customHeight="true" outlineLevel="0" collapsed="false">
      <c r="A4" s="10" t="s">
        <v>51</v>
      </c>
      <c r="B4" s="10" t="s">
        <v>104</v>
      </c>
      <c r="C4" s="10" t="s">
        <v>105</v>
      </c>
      <c r="D4" s="10" t="s">
        <v>106</v>
      </c>
      <c r="E4" s="10" t="s">
        <v>107</v>
      </c>
      <c r="F4" s="10" t="s">
        <v>108</v>
      </c>
      <c r="G4" s="10" t="s">
        <v>109</v>
      </c>
      <c r="H4" s="10" t="s">
        <v>110</v>
      </c>
      <c r="I4" s="10" t="s">
        <v>111</v>
      </c>
      <c r="J4" s="10" t="s">
        <v>112</v>
      </c>
      <c r="K4" s="10" t="s">
        <v>113</v>
      </c>
      <c r="L4" s="10" t="s">
        <v>114</v>
      </c>
      <c r="M4" s="10" t="s">
        <v>115</v>
      </c>
    </row>
    <row r="5" customFormat="false" ht="15" hidden="false" customHeight="false" outlineLevel="0" collapsed="false">
      <c r="A5" s="18" t="n">
        <f aca="false">Inputs!A13</f>
        <v>1</v>
      </c>
      <c r="B5" s="19" t="str">
        <f aca="false">Inputs!B13</f>
        <v>API Authentication Bypass</v>
      </c>
      <c r="C5" s="20" t="n">
        <f aca="false">Inputs!D13</f>
        <v>5000000</v>
      </c>
      <c r="D5" s="21" t="n">
        <f aca="false">Inputs!C13</f>
        <v>0.15</v>
      </c>
      <c r="E5" s="20" t="n">
        <f aca="false">C5*D5</f>
        <v>750000</v>
      </c>
      <c r="F5" s="22" t="n">
        <f aca="false">E5/$E$8</f>
        <v>0.0214285714285714</v>
      </c>
      <c r="G5" s="23" t="n">
        <f aca="false">RANK(E5,$E$5:$E$7,0)</f>
        <v>3</v>
      </c>
      <c r="H5" s="24" t="str">
        <f aca="false">IF(E5&gt;=Inputs!$B$24,"Critical",IF(E5&gt;=Inputs!$B$25,"High",IF(E5&gt;=Inputs!$B$26,"Medium","Low")))</f>
        <v>Medium</v>
      </c>
      <c r="I5" s="24" t="str">
        <f aca="false">IF(D5&gt;=Inputs!$B$27,"High",IF(D5&gt;=Inputs!$B$28,"Medium","Low"))</f>
        <v>Medium</v>
      </c>
      <c r="J5" s="24" t="str">
        <f aca="false">IF(C5&gt;=Inputs!$B$29,"High",IF(C5&gt;=Inputs!$B$30,"Medium","Low"))</f>
        <v>Medium</v>
      </c>
      <c r="K5" s="24" t="str">
        <f aca="false">IF(((I5="High")*3+(I5="Medium")*2+(I5="Low")*1+(J5="High")*3+(J5="Medium")*2+(J5="Low")*1)&gt;=5,"High",IF(((I5="High")*3+(I5="Medium")*2+(I5="Low")*1+(J5="High")*3+(J5="Medium")*2+(J5="Low")*1)=4,"Medium","Low"))</f>
        <v>Medium</v>
      </c>
      <c r="L5" s="20" t="n">
        <f aca="false">E5-SUMIFS('Control Analysis'!$G$5:$G$7,'Control Analysis'!$C$5:$C$7,A5)</f>
        <v>75000</v>
      </c>
      <c r="M5" s="25" t="s">
        <v>116</v>
      </c>
    </row>
    <row r="6" customFormat="false" ht="15" hidden="false" customHeight="false" outlineLevel="0" collapsed="false">
      <c r="A6" s="18" t="n">
        <f aca="false">Inputs!A14</f>
        <v>2</v>
      </c>
      <c r="B6" s="19" t="str">
        <f aca="false">Inputs!B14</f>
        <v>Database Injection</v>
      </c>
      <c r="C6" s="20" t="n">
        <f aca="false">Inputs!E14*Inputs!F14</f>
        <v>125000000</v>
      </c>
      <c r="D6" s="21" t="n">
        <f aca="false">Inputs!C14</f>
        <v>0.25</v>
      </c>
      <c r="E6" s="20" t="n">
        <f aca="false">C6*D6</f>
        <v>31250000</v>
      </c>
      <c r="F6" s="22" t="n">
        <f aca="false">E6/$E$8</f>
        <v>0.892857142857143</v>
      </c>
      <c r="G6" s="23" t="n">
        <f aca="false">RANK(E6,$E$5:$E$7,0)</f>
        <v>1</v>
      </c>
      <c r="H6" s="24" t="str">
        <f aca="false">IF(E6&gt;=Inputs!$B$24,"Critical",IF(E6&gt;=Inputs!$B$25,"High",IF(E6&gt;=Inputs!$B$26,"Medium","Low")))</f>
        <v>Critical</v>
      </c>
      <c r="I6" s="24" t="str">
        <f aca="false">IF(D6&gt;=Inputs!$B$27,"High",IF(D6&gt;=Inputs!$B$28,"Medium","Low"))</f>
        <v>Medium</v>
      </c>
      <c r="J6" s="24" t="str">
        <f aca="false">IF(C6&gt;=Inputs!$B$29,"High",IF(C6&gt;=Inputs!$B$30,"Medium","Low"))</f>
        <v>High</v>
      </c>
      <c r="K6" s="24" t="str">
        <f aca="false">IF(((I6="High")*3+(I6="Medium")*2+(I6="Low")*1+(J6="High")*3+(J6="Medium")*2+(J6="Low")*1)&gt;=5,"High",IF(((I6="High")*3+(I6="Medium")*2+(I6="Low")*1+(J6="High")*3+(J6="Medium")*2+(J6="Low")*1)=4,"Medium","Low"))</f>
        <v>High</v>
      </c>
      <c r="L6" s="20" t="n">
        <f aca="false">E6-SUMIFS('Control Analysis'!$G$5:$G$7,'Control Analysis'!$C$5:$C$7,A6)</f>
        <v>7812500</v>
      </c>
      <c r="M6" s="25" t="s">
        <v>117</v>
      </c>
    </row>
    <row r="7" customFormat="false" ht="15" hidden="false" customHeight="false" outlineLevel="0" collapsed="false">
      <c r="A7" s="18" t="n">
        <f aca="false">Inputs!A15</f>
        <v>3</v>
      </c>
      <c r="B7" s="19" t="str">
        <f aca="false">Inputs!B15</f>
        <v>Session Hijacking</v>
      </c>
      <c r="C7" s="20" t="n">
        <f aca="false">Inputs!G15*Inputs!H15</f>
        <v>7500000</v>
      </c>
      <c r="D7" s="21" t="n">
        <f aca="false">Inputs!C15</f>
        <v>0.4</v>
      </c>
      <c r="E7" s="20" t="n">
        <f aca="false">C7*D7</f>
        <v>3000000</v>
      </c>
      <c r="F7" s="22" t="n">
        <f aca="false">E7/$E$8</f>
        <v>0.0857142857142857</v>
      </c>
      <c r="G7" s="23" t="n">
        <f aca="false">RANK(E7,$E$5:$E$7,0)</f>
        <v>2</v>
      </c>
      <c r="H7" s="24" t="str">
        <f aca="false">IF(E7&gt;=Inputs!$B$24,"Critical",IF(E7&gt;=Inputs!$B$25,"High",IF(E7&gt;=Inputs!$B$26,"Medium","Low")))</f>
        <v>High</v>
      </c>
      <c r="I7" s="24" t="str">
        <f aca="false">IF(D7&gt;=Inputs!$B$27,"High",IF(D7&gt;=Inputs!$B$28,"Medium","Low"))</f>
        <v>High</v>
      </c>
      <c r="J7" s="24" t="str">
        <f aca="false">IF(C7&gt;=Inputs!$B$29,"High",IF(C7&gt;=Inputs!$B$30,"Medium","Low"))</f>
        <v>Medium</v>
      </c>
      <c r="K7" s="24" t="str">
        <f aca="false">IF(((I7="High")*3+(I7="Medium")*2+(I7="Low")*1+(J7="High")*3+(J7="Medium")*2+(J7="Low")*1)&gt;=5,"High",IF(((I7="High")*3+(I7="Medium")*2+(I7="Low")*1+(J7="High")*3+(J7="Medium")*2+(J7="Low")*1)=4,"Medium","Low"))</f>
        <v>High</v>
      </c>
      <c r="L7" s="20" t="n">
        <f aca="false">E7-SUMIFS('Control Analysis'!$G$5:$G$7,'Control Analysis'!$C$5:$C$7,A7)</f>
        <v>150000</v>
      </c>
      <c r="M7" s="25" t="s">
        <v>118</v>
      </c>
    </row>
    <row r="8" customFormat="false" ht="15" hidden="false" customHeight="false" outlineLevel="0" collapsed="false">
      <c r="A8" s="6"/>
      <c r="B8" s="26" t="s">
        <v>119</v>
      </c>
      <c r="C8" s="27" t="n">
        <f aca="false">SUM(C5:C7)</f>
        <v>137500000</v>
      </c>
      <c r="D8" s="28"/>
      <c r="E8" s="27" t="n">
        <f aca="false">SUM(E5:E7)</f>
        <v>35000000</v>
      </c>
      <c r="F8" s="29" t="n">
        <f aca="false">SUM(F5:F7)</f>
        <v>1</v>
      </c>
      <c r="G8" s="28"/>
      <c r="H8" s="28"/>
      <c r="I8" s="28"/>
      <c r="J8" s="28"/>
      <c r="K8" s="28"/>
      <c r="L8" s="27" t="n">
        <f aca="false">SUM(L5:L7)</f>
        <v>8037500</v>
      </c>
      <c r="M8" s="25" t="s">
        <v>120</v>
      </c>
    </row>
    <row r="11" customFormat="false" ht="15" hidden="false" customHeight="false" outlineLevel="0" collapsed="false">
      <c r="A11" s="5" t="s">
        <v>121</v>
      </c>
    </row>
    <row r="12" customFormat="false" ht="15" hidden="false" customHeight="false" outlineLevel="0" collapsed="false">
      <c r="A12" s="30" t="s">
        <v>122</v>
      </c>
      <c r="B12" s="31" t="s">
        <v>123</v>
      </c>
      <c r="C12" s="31" t="s">
        <v>124</v>
      </c>
      <c r="D12" s="31" t="s">
        <v>125</v>
      </c>
    </row>
    <row r="13" customFormat="false" ht="27.75" hidden="false" customHeight="true" outlineLevel="0" collapsed="false">
      <c r="A13" s="31" t="s">
        <v>125</v>
      </c>
      <c r="B13" s="32" t="str">
        <f aca="false">TRIM(IF(AND($I$5=$A13,$J$5=B$12),"F"&amp;$A$5&amp;" ","")&amp;IF(AND($I$6=$A13,$J$6=B$12),"F"&amp;$A$6&amp;" ","")&amp;IF(AND($I$7=$A13,$J$7=B$12),"F"&amp;$A$7&amp;" ",""))</f>
        <v/>
      </c>
      <c r="C13" s="33" t="str">
        <f aca="false">TRIM(IF(AND($I$5=$A13,$J$5=C$12),"F"&amp;$A$5&amp;" ","")&amp;IF(AND($I$6=$A13,$J$6=C$12),"F"&amp;$A$6&amp;" ","")&amp;IF(AND($I$7=$A13,$J$7=C$12),"F"&amp;$A$7&amp;" ",""))</f>
        <v>F3</v>
      </c>
      <c r="D13" s="33" t="str">
        <f aca="false">TRIM(IF(AND($I$5=$A13,$J$5=D$12),"F"&amp;$A$5&amp;" ","")&amp;IF(AND($I$6=$A13,$J$6=D$12),"F"&amp;$A$6&amp;" ","")&amp;IF(AND($I$7=$A13,$J$7=D$12),"F"&amp;$A$7&amp;" ",""))</f>
        <v/>
      </c>
    </row>
    <row r="14" customFormat="false" ht="27.75" hidden="false" customHeight="true" outlineLevel="0" collapsed="false">
      <c r="A14" s="31" t="s">
        <v>124</v>
      </c>
      <c r="B14" s="34" t="str">
        <f aca="false">TRIM(IF(AND($I$5=$A14,$J$5=B$12),"F"&amp;$A$5&amp;" ","")&amp;IF(AND($I$6=$A14,$J$6=B$12),"F"&amp;$A$6&amp;" ","")&amp;IF(AND($I$7=$A14,$J$7=B$12),"F"&amp;$A$7&amp;" ",""))</f>
        <v/>
      </c>
      <c r="C14" s="32" t="str">
        <f aca="false">TRIM(IF(AND($I$5=$A14,$J$5=C$12),"F"&amp;$A$5&amp;" ","")&amp;IF(AND($I$6=$A14,$J$6=C$12),"F"&amp;$A$6&amp;" ","")&amp;IF(AND($I$7=$A14,$J$7=C$12),"F"&amp;$A$7&amp;" ",""))</f>
        <v>F1</v>
      </c>
      <c r="D14" s="33" t="str">
        <f aca="false">TRIM(IF(AND($I$5=$A14,$J$5=D$12),"F"&amp;$A$5&amp;" ","")&amp;IF(AND($I$6=$A14,$J$6=D$12),"F"&amp;$A$6&amp;" ","")&amp;IF(AND($I$7=$A14,$J$7=D$12),"F"&amp;$A$7&amp;" ",""))</f>
        <v>F2</v>
      </c>
    </row>
    <row r="15" customFormat="false" ht="27.75" hidden="false" customHeight="true" outlineLevel="0" collapsed="false">
      <c r="A15" s="31" t="s">
        <v>123</v>
      </c>
      <c r="B15" s="34" t="str">
        <f aca="false">TRIM(IF(AND($I$5=$A15,$J$5=B$12),"F"&amp;$A$5&amp;" ","")&amp;IF(AND($I$6=$A15,$J$6=B$12),"F"&amp;$A$6&amp;" ","")&amp;IF(AND($I$7=$A15,$J$7=B$12),"F"&amp;$A$7&amp;" ",""))</f>
        <v/>
      </c>
      <c r="C15" s="34" t="str">
        <f aca="false">TRIM(IF(AND($I$5=$A15,$J$5=C$12),"F"&amp;$A$5&amp;" ","")&amp;IF(AND($I$6=$A15,$J$6=C$12),"F"&amp;$A$6&amp;" ","")&amp;IF(AND($I$7=$A15,$J$7=C$12),"F"&amp;$A$7&amp;" ",""))</f>
        <v/>
      </c>
      <c r="D15" s="32" t="str">
        <f aca="false">TRIM(IF(AND($I$5=$A15,$J$5=D$12),"F"&amp;$A$5&amp;" ","")&amp;IF(AND($I$6=$A15,$J$6=D$12),"F"&amp;$A$6&amp;" ","")&amp;IF(AND($I$7=$A15,$J$7=D$12),"F"&amp;$A$7&amp;" ",""))</f>
        <v/>
      </c>
    </row>
    <row r="17" customFormat="false" ht="15" hidden="false" customHeight="false" outlineLevel="0" collapsed="false">
      <c r="A17" s="35" t="s">
        <v>126</v>
      </c>
      <c r="B17" s="36" t="s">
        <v>127</v>
      </c>
      <c r="C17" s="37" t="s">
        <v>128</v>
      </c>
      <c r="D17" s="38" t="s">
        <v>129</v>
      </c>
    </row>
  </sheetData>
  <conditionalFormatting sqref="H5:H7">
    <cfRule type="expression" priority="2" aboveAverage="0" equalAverage="0" bottom="0" percent="0" rank="0" text="" dxfId="0">
      <formula>H5="Critical"</formula>
    </cfRule>
    <cfRule type="expression" priority="3" aboveAverage="0" equalAverage="0" bottom="0" percent="0" rank="0" text="" dxfId="1">
      <formula>H5="High"</formula>
    </cfRule>
    <cfRule type="expression" priority="4" aboveAverage="0" equalAverage="0" bottom="0" percent="0" rank="0" text="" dxfId="2">
      <formula>H5="Medium"</formula>
    </cfRule>
    <cfRule type="expression" priority="5" aboveAverage="0" equalAverage="0" bottom="0" percent="0" rank="0" text="" dxfId="3">
      <formula>H5="Low"</formula>
    </cfRule>
  </conditionalFormatting>
  <conditionalFormatting sqref="K5:K7">
    <cfRule type="expression" priority="6" aboveAverage="0" equalAverage="0" bottom="0" percent="0" rank="0" text="" dxfId="0">
      <formula>K5="High"</formula>
    </cfRule>
    <cfRule type="expression" priority="7" aboveAverage="0" equalAverage="0" bottom="0" percent="0" rank="0" text="" dxfId="4">
      <formula>K5="Medium"</formula>
    </cfRule>
    <cfRule type="expression" priority="8" aboveAverage="0" equalAverage="0" bottom="0" percent="0" rank="0" text="" dxfId="5">
      <formula>K5="Low"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9" min="8" style="0" width="16"/>
    <col collapsed="false" customWidth="true" hidden="false" outlineLevel="0" max="10" min="10" style="0" width="15"/>
    <col collapsed="false" customWidth="true" hidden="false" outlineLevel="0" max="12" min="11" style="0" width="12"/>
    <col collapsed="false" customWidth="true" hidden="false" outlineLevel="0" max="13" min="13" style="0" width="11"/>
    <col collapsed="false" customWidth="true" hidden="false" outlineLevel="0" max="15" min="14" style="0" width="16"/>
    <col collapsed="false" customWidth="true" hidden="false" outlineLevel="0" max="16" min="16" style="0" width="12"/>
    <col collapsed="false" customWidth="true" hidden="false" outlineLevel="0" max="17" min="17" style="0" width="16"/>
    <col collapsed="false" customWidth="true" hidden="false" outlineLevel="0" max="18" min="18" style="0" width="15"/>
  </cols>
  <sheetData>
    <row r="1" customFormat="false" ht="17.35" hidden="false" customHeight="false" outlineLevel="0" collapsed="false">
      <c r="A1" s="1" t="s">
        <v>130</v>
      </c>
    </row>
    <row r="2" customFormat="false" ht="15" hidden="false" customHeight="false" outlineLevel="0" collapsed="false">
      <c r="A2" s="4" t="s">
        <v>131</v>
      </c>
    </row>
    <row r="4" customFormat="false" ht="31.5" hidden="false" customHeight="true" outlineLevel="0" collapsed="false">
      <c r="A4" s="10" t="s">
        <v>51</v>
      </c>
      <c r="B4" s="10" t="s">
        <v>72</v>
      </c>
      <c r="C4" s="10" t="s">
        <v>132</v>
      </c>
      <c r="D4" s="10" t="s">
        <v>133</v>
      </c>
      <c r="E4" s="10" t="s">
        <v>134</v>
      </c>
      <c r="F4" s="10" t="s">
        <v>74</v>
      </c>
      <c r="G4" s="10" t="s">
        <v>135</v>
      </c>
      <c r="H4" s="10" t="s">
        <v>136</v>
      </c>
      <c r="I4" s="10" t="s">
        <v>75</v>
      </c>
      <c r="J4" s="10" t="s">
        <v>137</v>
      </c>
      <c r="K4" s="10" t="s">
        <v>138</v>
      </c>
      <c r="L4" s="10" t="s">
        <v>139</v>
      </c>
      <c r="M4" s="10" t="s">
        <v>140</v>
      </c>
      <c r="N4" s="10" t="s">
        <v>141</v>
      </c>
      <c r="O4" s="10" t="s">
        <v>142</v>
      </c>
      <c r="P4" s="10" t="s">
        <v>143</v>
      </c>
      <c r="Q4" s="10" t="s">
        <v>144</v>
      </c>
      <c r="R4" s="10" t="s">
        <v>145</v>
      </c>
    </row>
    <row r="5" customFormat="false" ht="15" hidden="false" customHeight="false" outlineLevel="0" collapsed="false">
      <c r="A5" s="18" t="n">
        <f aca="false">Inputs!A19</f>
        <v>1</v>
      </c>
      <c r="B5" s="19" t="str">
        <f aca="false">Inputs!B19</f>
        <v>Advanced API Security Gateway</v>
      </c>
      <c r="C5" s="39" t="n">
        <f aca="false">Inputs!F19</f>
        <v>1</v>
      </c>
      <c r="D5" s="19" t="str">
        <f aca="false">INDEX(Inputs!$B$13:$B$15,MATCH(C5,Inputs!$A$13:$A$15,0))</f>
        <v>API Authentication Bypass</v>
      </c>
      <c r="E5" s="40" t="n">
        <f aca="false">INDEX('Risk Calc'!$E$5:$E$7,MATCH(C5,'Risk Calc'!$A$5:$A$7,0))</f>
        <v>750000</v>
      </c>
      <c r="F5" s="41" t="n">
        <f aca="false">Inputs!D19</f>
        <v>0.9</v>
      </c>
      <c r="G5" s="20" t="n">
        <f aca="false">E5*F5</f>
        <v>675000</v>
      </c>
      <c r="H5" s="40" t="n">
        <f aca="false">Inputs!C19</f>
        <v>350000</v>
      </c>
      <c r="I5" s="40" t="n">
        <f aca="false">Inputs!E19</f>
        <v>50000</v>
      </c>
      <c r="J5" s="20" t="n">
        <f aca="false">H5+I5</f>
        <v>400000</v>
      </c>
      <c r="K5" s="42" t="n">
        <f aca="false">IF(J5=0,0,(G5-J5)/J5)</f>
        <v>0.6875</v>
      </c>
      <c r="L5" s="43" t="n">
        <f aca="false">IF(G5-I5&lt;=0,"n/a",H5/(G5-I5)*12)</f>
        <v>6.72</v>
      </c>
      <c r="M5" s="44" t="n">
        <f aca="false">IF(ISNUMBER(L5),L5*30.4375,"n/a")</f>
        <v>204.54</v>
      </c>
      <c r="N5" s="20" t="n">
        <f aca="false">H5+I5*Inputs!$B$31</f>
        <v>500000</v>
      </c>
      <c r="O5" s="20" t="n">
        <f aca="false">G5*Inputs!$B$31</f>
        <v>2025000</v>
      </c>
      <c r="P5" s="42" t="n">
        <f aca="false">IF(N5=0,0,(O5-N5)/N5)</f>
        <v>3.05</v>
      </c>
      <c r="Q5" s="20" t="n">
        <f aca="false">G5-I5</f>
        <v>625000</v>
      </c>
      <c r="R5" s="24" t="str">
        <f aca="false">IF(K5&gt;=Inputs!$B$32,"Recommend","Review")</f>
        <v>Recommend</v>
      </c>
    </row>
    <row r="6" customFormat="false" ht="15" hidden="false" customHeight="false" outlineLevel="0" collapsed="false">
      <c r="A6" s="18" t="n">
        <f aca="false">Inputs!A20</f>
        <v>2</v>
      </c>
      <c r="B6" s="19" t="str">
        <f aca="false">Inputs!B20</f>
        <v>Web Application Firewall (WAF)</v>
      </c>
      <c r="C6" s="39" t="n">
        <f aca="false">Inputs!F20</f>
        <v>2</v>
      </c>
      <c r="D6" s="19" t="str">
        <f aca="false">INDEX(Inputs!$B$13:$B$15,MATCH(C6,Inputs!$A$13:$A$15,0))</f>
        <v>Database Injection</v>
      </c>
      <c r="E6" s="40" t="n">
        <f aca="false">INDEX('Risk Calc'!$E$5:$E$7,MATCH(C6,'Risk Calc'!$A$5:$A$7,0))</f>
        <v>31250000</v>
      </c>
      <c r="F6" s="41" t="n">
        <f aca="false">Inputs!D20</f>
        <v>0.75</v>
      </c>
      <c r="G6" s="20" t="n">
        <f aca="false">E6*F6</f>
        <v>23437500</v>
      </c>
      <c r="H6" s="40" t="n">
        <f aca="false">Inputs!C20</f>
        <v>150000</v>
      </c>
      <c r="I6" s="40" t="n">
        <f aca="false">Inputs!E20</f>
        <v>25000</v>
      </c>
      <c r="J6" s="20" t="n">
        <f aca="false">H6+I6</f>
        <v>175000</v>
      </c>
      <c r="K6" s="42" t="n">
        <f aca="false">IF(J6=0,0,(G6-J6)/J6)</f>
        <v>132.928571428571</v>
      </c>
      <c r="L6" s="43" t="n">
        <f aca="false">IF(G6-I6&lt;=0,"n/a",H6/(G6-I6)*12)</f>
        <v>0.0768820074746396</v>
      </c>
      <c r="M6" s="44" t="n">
        <f aca="false">IF(ISNUMBER(L6),L6*30.4375,"n/a")</f>
        <v>2.34009610250934</v>
      </c>
      <c r="N6" s="20" t="n">
        <f aca="false">H6+I6*Inputs!$B$31</f>
        <v>225000</v>
      </c>
      <c r="O6" s="20" t="n">
        <f aca="false">G6*Inputs!$B$31</f>
        <v>70312500</v>
      </c>
      <c r="P6" s="42" t="n">
        <f aca="false">IF(N6=0,0,(O6-N6)/N6)</f>
        <v>311.5</v>
      </c>
      <c r="Q6" s="20" t="n">
        <f aca="false">G6-I6</f>
        <v>23412500</v>
      </c>
      <c r="R6" s="24" t="str">
        <f aca="false">IF(K6&gt;=Inputs!$B$32,"Recommend","Review")</f>
        <v>Recommend</v>
      </c>
    </row>
    <row r="7" customFormat="false" ht="15" hidden="false" customHeight="false" outlineLevel="0" collapsed="false">
      <c r="A7" s="18" t="n">
        <f aca="false">Inputs!A21</f>
        <v>3</v>
      </c>
      <c r="B7" s="19" t="str">
        <f aca="false">Inputs!B21</f>
        <v>Multi-Factor Authentication Enhancement</v>
      </c>
      <c r="C7" s="39" t="n">
        <f aca="false">Inputs!F21</f>
        <v>3</v>
      </c>
      <c r="D7" s="19" t="str">
        <f aca="false">INDEX(Inputs!$B$13:$B$15,MATCH(C7,Inputs!$A$13:$A$15,0))</f>
        <v>Session Hijacking</v>
      </c>
      <c r="E7" s="40" t="n">
        <f aca="false">INDEX('Risk Calc'!$E$5:$E$7,MATCH(C7,'Risk Calc'!$A$5:$A$7,0))</f>
        <v>3000000</v>
      </c>
      <c r="F7" s="41" t="n">
        <f aca="false">Inputs!D21</f>
        <v>0.95</v>
      </c>
      <c r="G7" s="20" t="n">
        <f aca="false">E7*F7</f>
        <v>2850000</v>
      </c>
      <c r="H7" s="40" t="n">
        <f aca="false">Inputs!C21</f>
        <v>200000</v>
      </c>
      <c r="I7" s="40" t="n">
        <f aca="false">Inputs!E21</f>
        <v>30000</v>
      </c>
      <c r="J7" s="20" t="n">
        <f aca="false">H7+I7</f>
        <v>230000</v>
      </c>
      <c r="K7" s="42" t="n">
        <f aca="false">IF(J7=0,0,(G7-J7)/J7)</f>
        <v>11.3913043478261</v>
      </c>
      <c r="L7" s="43" t="n">
        <f aca="false">IF(G7-I7&lt;=0,"n/a",H7/(G7-I7)*12)</f>
        <v>0.851063829787234</v>
      </c>
      <c r="M7" s="44" t="n">
        <f aca="false">IF(ISNUMBER(L7),L7*30.4375,"n/a")</f>
        <v>25.9042553191489</v>
      </c>
      <c r="N7" s="20" t="n">
        <f aca="false">H7+I7*Inputs!$B$31</f>
        <v>290000</v>
      </c>
      <c r="O7" s="20" t="n">
        <f aca="false">G7*Inputs!$B$31</f>
        <v>8550000</v>
      </c>
      <c r="P7" s="42" t="n">
        <f aca="false">IF(N7=0,0,(O7-N7)/N7)</f>
        <v>28.4827586206897</v>
      </c>
      <c r="Q7" s="20" t="n">
        <f aca="false">G7-I7</f>
        <v>2820000</v>
      </c>
      <c r="R7" s="24" t="str">
        <f aca="false">IF(K7&gt;=Inputs!$B$32,"Recommend","Review")</f>
        <v>Recommend</v>
      </c>
    </row>
    <row r="8" customFormat="false" ht="15" hidden="false" customHeight="false" outlineLevel="0" collapsed="false">
      <c r="A8" s="28"/>
      <c r="B8" s="26" t="s">
        <v>146</v>
      </c>
      <c r="C8" s="28"/>
      <c r="D8" s="28"/>
      <c r="E8" s="28"/>
      <c r="F8" s="28"/>
      <c r="G8" s="27" t="n">
        <f aca="false">SUM(G5:G7)</f>
        <v>26962500</v>
      </c>
      <c r="H8" s="27" t="n">
        <f aca="false">SUM(H5:H7)</f>
        <v>700000</v>
      </c>
      <c r="I8" s="27" t="n">
        <f aca="false">SUM(I5:I7)</f>
        <v>105000</v>
      </c>
      <c r="J8" s="27" t="n">
        <f aca="false">SUM(J5:J7)</f>
        <v>805000</v>
      </c>
      <c r="K8" s="45" t="n">
        <f aca="false">IF(J8=0,0,(G8-J8)/J8)</f>
        <v>32.4937888198758</v>
      </c>
      <c r="L8" s="46" t="n">
        <f aca="false">IF(G8-I8&lt;=0,"n/a",H8/(G8-I8)*12)</f>
        <v>0.312761798380341</v>
      </c>
      <c r="M8" s="47" t="n">
        <f aca="false">IF(ISNUMBER(L8),L8*30.4375,"n/a")</f>
        <v>9.51968723820162</v>
      </c>
      <c r="N8" s="27" t="n">
        <f aca="false">SUM(N5:N7)</f>
        <v>1015000</v>
      </c>
      <c r="O8" s="27" t="n">
        <f aca="false">SUM(O5:O7)</f>
        <v>80887500</v>
      </c>
      <c r="P8" s="45" t="n">
        <f aca="false">IF(N8=0,0,(O8-N8)/N8)</f>
        <v>78.692118226601</v>
      </c>
      <c r="Q8" s="27" t="n">
        <f aca="false">SUM(Q5:Q7)</f>
        <v>26857500</v>
      </c>
      <c r="R8" s="28"/>
    </row>
    <row r="10" customFormat="false" ht="15" hidden="false" customHeight="false" outlineLevel="0" collapsed="false">
      <c r="A10" s="5" t="s">
        <v>147</v>
      </c>
    </row>
    <row r="11" customFormat="false" ht="15" hidden="false" customHeight="false" outlineLevel="0" collapsed="false">
      <c r="A11" s="6" t="s">
        <v>148</v>
      </c>
      <c r="B11" s="48" t="n">
        <f aca="false">'Risk Calc'!E8</f>
        <v>35000000</v>
      </c>
    </row>
    <row r="12" customFormat="false" ht="15" hidden="false" customHeight="false" outlineLevel="0" collapsed="false">
      <c r="A12" s="6" t="s">
        <v>149</v>
      </c>
      <c r="B12" s="48" t="n">
        <f aca="false">G8</f>
        <v>26962500</v>
      </c>
    </row>
    <row r="13" customFormat="false" ht="15" hidden="false" customHeight="false" outlineLevel="0" collapsed="false">
      <c r="A13" s="6" t="s">
        <v>150</v>
      </c>
      <c r="B13" s="48" t="n">
        <f aca="false">B11-B12</f>
        <v>8037500</v>
      </c>
    </row>
    <row r="14" customFormat="false" ht="15" hidden="false" customHeight="false" outlineLevel="0" collapsed="false">
      <c r="A14" s="6" t="s">
        <v>151</v>
      </c>
      <c r="B14" s="49" t="n">
        <f aca="false">IF(B11=0,0,B12/B11)</f>
        <v>0.770357142857143</v>
      </c>
    </row>
    <row r="15" customFormat="false" ht="15" hidden="false" customHeight="false" outlineLevel="0" collapsed="false">
      <c r="A15" s="6" t="s">
        <v>152</v>
      </c>
      <c r="B15" s="48" t="n">
        <f aca="false">J8</f>
        <v>805000</v>
      </c>
    </row>
    <row r="16" customFormat="false" ht="15" hidden="false" customHeight="false" outlineLevel="0" collapsed="false">
      <c r="A16" s="6" t="s">
        <v>153</v>
      </c>
      <c r="B16" s="50" t="n">
        <f aca="false">K8</f>
        <v>32.4937888198758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154</v>
      </c>
    </row>
    <row r="2" customFormat="false" ht="15" hidden="false" customHeight="false" outlineLevel="0" collapsed="false">
      <c r="A2" s="4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6" min="3" style="0" width="16"/>
    <col collapsed="false" customWidth="true" hidden="false" outlineLevel="0" max="8" min="7" style="0" width="14"/>
    <col collapsed="false" customWidth="true" hidden="false" outlineLevel="0" max="9" min="9" style="0" width="26"/>
    <col collapsed="false" customWidth="true" hidden="false" outlineLevel="0" max="10" min="10" style="0" width="15"/>
  </cols>
  <sheetData>
    <row r="1" customFormat="false" ht="27.75" hidden="false" customHeight="true" outlineLevel="0" collapsed="false">
      <c r="A1" s="51" t="s">
        <v>156</v>
      </c>
      <c r="B1" s="52"/>
      <c r="C1" s="52"/>
      <c r="D1" s="52"/>
      <c r="E1" s="52"/>
      <c r="F1" s="52"/>
      <c r="G1" s="52"/>
      <c r="H1" s="52"/>
      <c r="I1" s="52"/>
      <c r="J1" s="52"/>
    </row>
    <row r="2" customFormat="false" ht="15" hidden="false" customHeight="false" outlineLevel="0" collapsed="false">
      <c r="A2" s="4" t="s">
        <v>157</v>
      </c>
    </row>
    <row r="4" customFormat="false" ht="15" hidden="false" customHeight="false" outlineLevel="0" collapsed="false">
      <c r="A4" s="53" t="s">
        <v>158</v>
      </c>
      <c r="B4" s="53"/>
      <c r="C4" s="53" t="s">
        <v>159</v>
      </c>
      <c r="D4" s="53"/>
      <c r="E4" s="53" t="s">
        <v>160</v>
      </c>
      <c r="F4" s="53"/>
      <c r="G4" s="53" t="s">
        <v>161</v>
      </c>
      <c r="H4" s="53"/>
      <c r="I4" s="53" t="s">
        <v>162</v>
      </c>
      <c r="J4" s="53"/>
    </row>
    <row r="5" customFormat="false" ht="30" hidden="false" customHeight="true" outlineLevel="0" collapsed="false">
      <c r="A5" s="54" t="n">
        <f aca="false">'Risk Calc'!E8</f>
        <v>35000000</v>
      </c>
      <c r="B5" s="54"/>
      <c r="C5" s="54" t="n">
        <f aca="false">'Control Analysis'!B13</f>
        <v>8037500</v>
      </c>
      <c r="D5" s="54"/>
      <c r="E5" s="54" t="n">
        <f aca="false">'Control Analysis'!G8</f>
        <v>26962500</v>
      </c>
      <c r="F5" s="54"/>
      <c r="G5" s="54" t="n">
        <f aca="false">'Control Analysis'!J8</f>
        <v>805000</v>
      </c>
      <c r="H5" s="54"/>
      <c r="I5" s="55" t="n">
        <f aca="false">'Control Analysis'!K8</f>
        <v>32.4937888198758</v>
      </c>
      <c r="J5" s="55"/>
    </row>
    <row r="7" customFormat="false" ht="15" hidden="false" customHeight="false" outlineLevel="0" collapsed="false">
      <c r="A7" s="56" t="s">
        <v>163</v>
      </c>
    </row>
    <row r="8" customFormat="false" ht="31.5" hidden="false" customHeight="true" outlineLevel="0" collapsed="false">
      <c r="A8" s="10" t="s">
        <v>109</v>
      </c>
      <c r="B8" s="10" t="s">
        <v>104</v>
      </c>
      <c r="C8" s="10" t="s">
        <v>105</v>
      </c>
      <c r="D8" s="10" t="s">
        <v>106</v>
      </c>
      <c r="E8" s="10" t="s">
        <v>107</v>
      </c>
      <c r="F8" s="10" t="s">
        <v>164</v>
      </c>
      <c r="G8" s="10" t="s">
        <v>113</v>
      </c>
    </row>
    <row r="9" customFormat="false" ht="15" hidden="false" customHeight="false" outlineLevel="0" collapsed="false">
      <c r="A9" s="24" t="n">
        <v>1</v>
      </c>
      <c r="B9" s="19" t="str">
        <f aca="false">INDEX('Risk Calc'!$B$5:$B$7,MATCH($A9,'Risk Calc'!$G$5:$G$7,0))</f>
        <v>Database Injection</v>
      </c>
      <c r="C9" s="40" t="n">
        <f aca="false">INDEX('Risk Calc'!$C$5:$C$7,MATCH($A9,'Risk Calc'!$G$5:$G$7,0))</f>
        <v>125000000</v>
      </c>
      <c r="D9" s="21" t="n">
        <f aca="false">INDEX('Risk Calc'!$D$5:$D$7,MATCH($A9,'Risk Calc'!$G$5:$G$7,0))</f>
        <v>0.25</v>
      </c>
      <c r="E9" s="40" t="n">
        <f aca="false">INDEX('Risk Calc'!$E$5:$E$7,MATCH($A9,'Risk Calc'!$G$5:$G$7,0))</f>
        <v>31250000</v>
      </c>
      <c r="F9" s="57" t="str">
        <f aca="false">INDEX('Risk Calc'!$H$5:$H$7,MATCH($A9,'Risk Calc'!$G$5:$G$7,0))</f>
        <v>Critical</v>
      </c>
      <c r="G9" s="57" t="str">
        <f aca="false">INDEX('Risk Calc'!$K$5:$K$7,MATCH($A9,'Risk Calc'!$G$5:$G$7,0))</f>
        <v>High</v>
      </c>
    </row>
    <row r="10" customFormat="false" ht="15" hidden="false" customHeight="false" outlineLevel="0" collapsed="false">
      <c r="A10" s="24" t="n">
        <v>2</v>
      </c>
      <c r="B10" s="19" t="str">
        <f aca="false">INDEX('Risk Calc'!$B$5:$B$7,MATCH($A10,'Risk Calc'!$G$5:$G$7,0))</f>
        <v>Session Hijacking</v>
      </c>
      <c r="C10" s="40" t="n">
        <f aca="false">INDEX('Risk Calc'!$C$5:$C$7,MATCH($A10,'Risk Calc'!$G$5:$G$7,0))</f>
        <v>7500000</v>
      </c>
      <c r="D10" s="21" t="n">
        <f aca="false">INDEX('Risk Calc'!$D$5:$D$7,MATCH($A10,'Risk Calc'!$G$5:$G$7,0))</f>
        <v>0.4</v>
      </c>
      <c r="E10" s="40" t="n">
        <f aca="false">INDEX('Risk Calc'!$E$5:$E$7,MATCH($A10,'Risk Calc'!$G$5:$G$7,0))</f>
        <v>3000000</v>
      </c>
      <c r="F10" s="57" t="str">
        <f aca="false">INDEX('Risk Calc'!$H$5:$H$7,MATCH($A10,'Risk Calc'!$G$5:$G$7,0))</f>
        <v>High</v>
      </c>
      <c r="G10" s="57" t="str">
        <f aca="false">INDEX('Risk Calc'!$K$5:$K$7,MATCH($A10,'Risk Calc'!$G$5:$G$7,0))</f>
        <v>High</v>
      </c>
    </row>
    <row r="11" customFormat="false" ht="15" hidden="false" customHeight="false" outlineLevel="0" collapsed="false">
      <c r="A11" s="24" t="n">
        <v>3</v>
      </c>
      <c r="B11" s="19" t="str">
        <f aca="false">INDEX('Risk Calc'!$B$5:$B$7,MATCH($A11,'Risk Calc'!$G$5:$G$7,0))</f>
        <v>API Authentication Bypass</v>
      </c>
      <c r="C11" s="40" t="n">
        <f aca="false">INDEX('Risk Calc'!$C$5:$C$7,MATCH($A11,'Risk Calc'!$G$5:$G$7,0))</f>
        <v>5000000</v>
      </c>
      <c r="D11" s="21" t="n">
        <f aca="false">INDEX('Risk Calc'!$D$5:$D$7,MATCH($A11,'Risk Calc'!$G$5:$G$7,0))</f>
        <v>0.15</v>
      </c>
      <c r="E11" s="40" t="n">
        <f aca="false">INDEX('Risk Calc'!$E$5:$E$7,MATCH($A11,'Risk Calc'!$G$5:$G$7,0))</f>
        <v>750000</v>
      </c>
      <c r="F11" s="57" t="str">
        <f aca="false">INDEX('Risk Calc'!$H$5:$H$7,MATCH($A11,'Risk Calc'!$G$5:$G$7,0))</f>
        <v>Medium</v>
      </c>
      <c r="G11" s="57" t="str">
        <f aca="false">INDEX('Risk Calc'!$K$5:$K$7,MATCH($A11,'Risk Calc'!$G$5:$G$7,0))</f>
        <v>Medium</v>
      </c>
    </row>
    <row r="13" customFormat="false" ht="15" hidden="false" customHeight="false" outlineLevel="0" collapsed="false">
      <c r="A13" s="56" t="s">
        <v>165</v>
      </c>
    </row>
    <row r="14" customFormat="false" ht="31.5" hidden="false" customHeight="true" outlineLevel="0" collapsed="false">
      <c r="A14" s="10" t="s">
        <v>51</v>
      </c>
      <c r="B14" s="10" t="s">
        <v>72</v>
      </c>
      <c r="C14" s="10" t="s">
        <v>73</v>
      </c>
      <c r="D14" s="10" t="s">
        <v>75</v>
      </c>
      <c r="E14" s="10" t="s">
        <v>137</v>
      </c>
      <c r="F14" s="10" t="s">
        <v>135</v>
      </c>
      <c r="G14" s="10" t="s">
        <v>138</v>
      </c>
      <c r="H14" s="10" t="s">
        <v>139</v>
      </c>
      <c r="I14" s="10" t="s">
        <v>133</v>
      </c>
      <c r="J14" s="10" t="s">
        <v>166</v>
      </c>
    </row>
    <row r="15" customFormat="false" ht="15" hidden="false" customHeight="false" outlineLevel="0" collapsed="false">
      <c r="A15" s="18" t="n">
        <f aca="false">'Control Analysis'!A5</f>
        <v>1</v>
      </c>
      <c r="B15" s="19" t="str">
        <f aca="false">'Control Analysis'!B5</f>
        <v>Advanced API Security Gateway</v>
      </c>
      <c r="C15" s="40" t="n">
        <f aca="false">'Control Analysis'!H5</f>
        <v>350000</v>
      </c>
      <c r="D15" s="40" t="n">
        <f aca="false">'Control Analysis'!I5</f>
        <v>50000</v>
      </c>
      <c r="E15" s="40" t="n">
        <f aca="false">'Control Analysis'!J5</f>
        <v>400000</v>
      </c>
      <c r="F15" s="40" t="n">
        <f aca="false">'Control Analysis'!G5</f>
        <v>675000</v>
      </c>
      <c r="G15" s="21" t="n">
        <f aca="false">'Control Analysis'!K5</f>
        <v>0.6875</v>
      </c>
      <c r="H15" s="58" t="n">
        <f aca="false">'Control Analysis'!L5</f>
        <v>6.72</v>
      </c>
      <c r="I15" s="19" t="str">
        <f aca="false">'Control Analysis'!D5</f>
        <v>API Authentication Bypass</v>
      </c>
      <c r="J15" s="18" t="str">
        <f aca="false">'Control Analysis'!R5</f>
        <v>Recommend</v>
      </c>
    </row>
    <row r="16" customFormat="false" ht="15" hidden="false" customHeight="false" outlineLevel="0" collapsed="false">
      <c r="A16" s="18" t="n">
        <f aca="false">'Control Analysis'!A6</f>
        <v>2</v>
      </c>
      <c r="B16" s="19" t="str">
        <f aca="false">'Control Analysis'!B6</f>
        <v>Web Application Firewall (WAF)</v>
      </c>
      <c r="C16" s="40" t="n">
        <f aca="false">'Control Analysis'!H6</f>
        <v>150000</v>
      </c>
      <c r="D16" s="40" t="n">
        <f aca="false">'Control Analysis'!I6</f>
        <v>25000</v>
      </c>
      <c r="E16" s="40" t="n">
        <f aca="false">'Control Analysis'!J6</f>
        <v>175000</v>
      </c>
      <c r="F16" s="40" t="n">
        <f aca="false">'Control Analysis'!G6</f>
        <v>23437500</v>
      </c>
      <c r="G16" s="21" t="n">
        <f aca="false">'Control Analysis'!K6</f>
        <v>132.928571428571</v>
      </c>
      <c r="H16" s="58" t="n">
        <f aca="false">'Control Analysis'!L6</f>
        <v>0.0768820074746396</v>
      </c>
      <c r="I16" s="19" t="str">
        <f aca="false">'Control Analysis'!D6</f>
        <v>Database Injection</v>
      </c>
      <c r="J16" s="18" t="str">
        <f aca="false">'Control Analysis'!R6</f>
        <v>Recommend</v>
      </c>
    </row>
    <row r="17" customFormat="false" ht="15" hidden="false" customHeight="false" outlineLevel="0" collapsed="false">
      <c r="A17" s="18" t="n">
        <f aca="false">'Control Analysis'!A7</f>
        <v>3</v>
      </c>
      <c r="B17" s="19" t="str">
        <f aca="false">'Control Analysis'!B7</f>
        <v>Multi-Factor Authentication Enhancement</v>
      </c>
      <c r="C17" s="40" t="n">
        <f aca="false">'Control Analysis'!H7</f>
        <v>200000</v>
      </c>
      <c r="D17" s="40" t="n">
        <f aca="false">'Control Analysis'!I7</f>
        <v>30000</v>
      </c>
      <c r="E17" s="40" t="n">
        <f aca="false">'Control Analysis'!J7</f>
        <v>230000</v>
      </c>
      <c r="F17" s="40" t="n">
        <f aca="false">'Control Analysis'!G7</f>
        <v>2850000</v>
      </c>
      <c r="G17" s="21" t="n">
        <f aca="false">'Control Analysis'!K7</f>
        <v>11.3913043478261</v>
      </c>
      <c r="H17" s="58" t="n">
        <f aca="false">'Control Analysis'!L7</f>
        <v>0.851063829787234</v>
      </c>
      <c r="I17" s="19" t="str">
        <f aca="false">'Control Analysis'!D7</f>
        <v>Session Hijacking</v>
      </c>
      <c r="J17" s="18" t="str">
        <f aca="false">'Control Analysis'!R7</f>
        <v>Recommend</v>
      </c>
    </row>
    <row r="18" customFormat="false" ht="15" hidden="false" customHeight="false" outlineLevel="0" collapsed="false">
      <c r="A18" s="28"/>
      <c r="B18" s="26" t="s">
        <v>119</v>
      </c>
      <c r="C18" s="59" t="n">
        <f aca="false">'Control Analysis'!H8</f>
        <v>700000</v>
      </c>
      <c r="D18" s="59" t="n">
        <f aca="false">'Control Analysis'!I8</f>
        <v>105000</v>
      </c>
      <c r="E18" s="59" t="n">
        <f aca="false">'Control Analysis'!J8</f>
        <v>805000</v>
      </c>
      <c r="F18" s="59" t="n">
        <f aca="false">'Control Analysis'!G8</f>
        <v>26962500</v>
      </c>
      <c r="G18" s="60" t="n">
        <f aca="false">'Control Analysis'!K8</f>
        <v>32.4937888198758</v>
      </c>
      <c r="H18" s="61" t="n">
        <f aca="false">'Control Analysis'!L8</f>
        <v>0.312761798380341</v>
      </c>
      <c r="I18" s="28"/>
      <c r="J18" s="28"/>
    </row>
    <row r="37" customFormat="false" ht="15" hidden="false" customHeight="false" outlineLevel="0" collapsed="false">
      <c r="F37" s="56" t="s">
        <v>167</v>
      </c>
    </row>
    <row r="38" customFormat="false" ht="15" hidden="false" customHeight="false" outlineLevel="0" collapsed="false">
      <c r="F38" s="62" t="str">
        <f aca="false">"1. Top risk: "&amp;B9&amp;" ("&amp;TEXT(E9,"$#,##0")&amp;" ALE, "&amp;TEXT(E9/'Risk Calc'!E8,"0%")&amp;" of total exposure)."</f>
        <v>1. Top risk: Database Injection ($31,250,000 ALE, 89% of total exposure).</v>
      </c>
      <c r="G38" s="62"/>
      <c r="H38" s="62"/>
      <c r="I38" s="62"/>
      <c r="J38" s="62"/>
    </row>
    <row r="39" customFormat="false" ht="15" hidden="false" customHeight="false" outlineLevel="0" collapsed="false">
      <c r="F39" s="62"/>
      <c r="G39" s="62"/>
      <c r="H39" s="62"/>
      <c r="I39" s="62"/>
      <c r="J39" s="62"/>
    </row>
    <row r="40" customFormat="false" ht="15" hidden="false" customHeight="false" outlineLevel="0" collapsed="false">
      <c r="F40" s="62"/>
      <c r="G40" s="62"/>
      <c r="H40" s="62"/>
      <c r="I40" s="62"/>
      <c r="J40" s="62"/>
    </row>
    <row r="41" customFormat="false" ht="15" hidden="false" customHeight="false" outlineLevel="0" collapsed="false">
      <c r="F41" s="62" t="str">
        <f aca="false">"2. The recommended controls cost "&amp;TEXT(E18,"$#,##0")&amp;" in Year 1 and cut annual exposure by "&amp;TEXT(F18,"$#,##0")&amp;" ("&amp;TEXT(F18/'Risk Calc'!E8,"0%")&amp;")."</f>
        <v>2. The recommended controls cost $805,000 in Year 1 and cut annual exposure by $26,962,500 (77%).</v>
      </c>
      <c r="G41" s="62"/>
      <c r="H41" s="62"/>
      <c r="I41" s="62"/>
      <c r="J41" s="62"/>
    </row>
    <row r="42" customFormat="false" ht="15" hidden="false" customHeight="false" outlineLevel="0" collapsed="false">
      <c r="F42" s="62"/>
      <c r="G42" s="62"/>
      <c r="H42" s="62"/>
      <c r="I42" s="62"/>
      <c r="J42" s="62"/>
    </row>
    <row r="43" customFormat="false" ht="15" hidden="false" customHeight="false" outlineLevel="0" collapsed="false">
      <c r="F43" s="62"/>
      <c r="G43" s="62"/>
      <c r="H43" s="62"/>
      <c r="I43" s="62"/>
      <c r="J43" s="62"/>
    </row>
    <row r="44" customFormat="false" ht="15" hidden="false" customHeight="false" outlineLevel="0" collapsed="false">
      <c r="F44" s="62" t="str">
        <f aca="false">"3. Portfolio Year-1 ROI is "&amp;TEXT(G18,"#,##0%")&amp;" and the investment pays back in about "&amp;TEXT(H18,"0.0")&amp;" months."</f>
        <v>3. Portfolio Year-1 ROI is 3,249% and the investment pays back in about 0.3 months.</v>
      </c>
      <c r="G44" s="62"/>
      <c r="H44" s="62"/>
      <c r="I44" s="62"/>
      <c r="J44" s="62"/>
    </row>
    <row r="45" customFormat="false" ht="15" hidden="false" customHeight="false" outlineLevel="0" collapsed="false">
      <c r="F45" s="62"/>
      <c r="G45" s="62"/>
      <c r="H45" s="62"/>
      <c r="I45" s="62"/>
      <c r="J45" s="62"/>
    </row>
    <row r="46" customFormat="false" ht="15" hidden="false" customHeight="false" outlineLevel="0" collapsed="false">
      <c r="F46" s="62"/>
      <c r="G46" s="62"/>
      <c r="H46" s="62"/>
      <c r="I46" s="62"/>
      <c r="J46" s="62"/>
    </row>
    <row r="47" customFormat="false" ht="15" hidden="false" customHeight="false" outlineLevel="0" collapsed="false">
      <c r="F47" s="62" t="str">
        <f aca="false">"4. Residual exposure is still "&amp;TEXT('Control Analysis'!B13,"$#,##0")&amp;". Fix root causes in code and keep monitoring."</f>
        <v>4. Residual exposure is still $8,037,500. Fix root causes in code and keep monitoring.</v>
      </c>
      <c r="G47" s="62"/>
      <c r="H47" s="62"/>
      <c r="I47" s="62"/>
      <c r="J47" s="62"/>
    </row>
    <row r="48" customFormat="false" ht="15" hidden="false" customHeight="false" outlineLevel="0" collapsed="false">
      <c r="F48" s="62"/>
      <c r="G48" s="62"/>
      <c r="H48" s="62"/>
      <c r="I48" s="62"/>
      <c r="J48" s="62"/>
    </row>
    <row r="49" customFormat="false" ht="15" hidden="false" customHeight="false" outlineLevel="0" collapsed="false">
      <c r="F49" s="62"/>
      <c r="G49" s="62"/>
      <c r="H49" s="62"/>
      <c r="I49" s="62"/>
      <c r="J49" s="62"/>
    </row>
  </sheetData>
  <mergeCells count="14"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F38:J40"/>
    <mergeCell ref="F41:J43"/>
    <mergeCell ref="F44:J46"/>
    <mergeCell ref="F47:J49"/>
  </mergeCells>
  <conditionalFormatting sqref="F9:F11">
    <cfRule type="expression" priority="2" aboveAverage="0" equalAverage="0" bottom="0" percent="0" rank="0" text="" dxfId="0">
      <formula>F9="Critical"</formula>
    </cfRule>
    <cfRule type="expression" priority="3" aboveAverage="0" equalAverage="0" bottom="0" percent="0" rank="0" text="" dxfId="1">
      <formula>F9="High"</formula>
    </cfRule>
    <cfRule type="expression" priority="4" aboveAverage="0" equalAverage="0" bottom="0" percent="0" rank="0" text="" dxfId="2">
      <formula>F9="Medium"</formula>
    </cfRule>
    <cfRule type="expression" priority="5" aboveAverage="0" equalAverage="0" bottom="0" percent="0" rank="0" text="" dxfId="3">
      <formula>F9="Low"</formula>
    </cfRule>
  </conditionalFormatting>
  <conditionalFormatting sqref="G9:G11">
    <cfRule type="expression" priority="6" aboveAverage="0" equalAverage="0" bottom="0" percent="0" rank="0" text="" dxfId="0">
      <formula>G9="High"</formula>
    </cfRule>
    <cfRule type="expression" priority="7" aboveAverage="0" equalAverage="0" bottom="0" percent="0" rank="0" text="" dxfId="4">
      <formula>G9="Medium"</formula>
    </cfRule>
    <cfRule type="expression" priority="8" aboveAverage="0" equalAverage="0" bottom="0" percent="0" rank="0" text="" dxfId="5">
      <formula>G9="Low"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58" min="7" style="0" width="2.6"/>
  </cols>
  <sheetData>
    <row r="1" customFormat="false" ht="17.35" hidden="false" customHeight="false" outlineLevel="0" collapsed="false">
      <c r="A1" s="1" t="s">
        <v>168</v>
      </c>
    </row>
    <row r="2" customFormat="false" ht="15" hidden="false" customHeight="false" outlineLevel="0" collapsed="false">
      <c r="A2" s="4" t="s">
        <v>169</v>
      </c>
    </row>
    <row r="4" customFormat="false" ht="15" hidden="false" customHeight="false" outlineLevel="0" collapsed="false">
      <c r="F4" s="63" t="s">
        <v>170</v>
      </c>
      <c r="G4" s="64" t="n">
        <f aca="false">(G5-1)*7</f>
        <v>0</v>
      </c>
      <c r="H4" s="64" t="n">
        <f aca="false">(H5-1)*7</f>
        <v>7</v>
      </c>
      <c r="I4" s="64" t="n">
        <f aca="false">(I5-1)*7</f>
        <v>14</v>
      </c>
      <c r="J4" s="64" t="n">
        <f aca="false">(J5-1)*7</f>
        <v>21</v>
      </c>
      <c r="K4" s="64" t="n">
        <f aca="false">(K5-1)*7</f>
        <v>28</v>
      </c>
      <c r="L4" s="64" t="n">
        <f aca="false">(L5-1)*7</f>
        <v>35</v>
      </c>
      <c r="M4" s="64" t="n">
        <f aca="false">(M5-1)*7</f>
        <v>42</v>
      </c>
      <c r="N4" s="64" t="n">
        <f aca="false">(N5-1)*7</f>
        <v>49</v>
      </c>
      <c r="O4" s="64" t="n">
        <f aca="false">(O5-1)*7</f>
        <v>56</v>
      </c>
      <c r="P4" s="64" t="n">
        <f aca="false">(P5-1)*7</f>
        <v>63</v>
      </c>
      <c r="Q4" s="64" t="n">
        <f aca="false">(Q5-1)*7</f>
        <v>70</v>
      </c>
      <c r="R4" s="64" t="n">
        <f aca="false">(R5-1)*7</f>
        <v>77</v>
      </c>
      <c r="S4" s="64" t="n">
        <f aca="false">(S5-1)*7</f>
        <v>84</v>
      </c>
      <c r="T4" s="64" t="n">
        <f aca="false">(T5-1)*7</f>
        <v>91</v>
      </c>
      <c r="U4" s="64" t="n">
        <f aca="false">(U5-1)*7</f>
        <v>98</v>
      </c>
      <c r="V4" s="64" t="n">
        <f aca="false">(V5-1)*7</f>
        <v>105</v>
      </c>
      <c r="W4" s="64" t="n">
        <f aca="false">(W5-1)*7</f>
        <v>112</v>
      </c>
      <c r="X4" s="64" t="n">
        <f aca="false">(X5-1)*7</f>
        <v>119</v>
      </c>
      <c r="Y4" s="64" t="n">
        <f aca="false">(Y5-1)*7</f>
        <v>126</v>
      </c>
      <c r="Z4" s="64" t="n">
        <f aca="false">(Z5-1)*7</f>
        <v>133</v>
      </c>
      <c r="AA4" s="64" t="n">
        <f aca="false">(AA5-1)*7</f>
        <v>140</v>
      </c>
      <c r="AB4" s="64" t="n">
        <f aca="false">(AB5-1)*7</f>
        <v>147</v>
      </c>
      <c r="AC4" s="64" t="n">
        <f aca="false">(AC5-1)*7</f>
        <v>154</v>
      </c>
      <c r="AD4" s="64" t="n">
        <f aca="false">(AD5-1)*7</f>
        <v>161</v>
      </c>
      <c r="AE4" s="64" t="n">
        <f aca="false">(AE5-1)*7</f>
        <v>168</v>
      </c>
      <c r="AF4" s="64" t="n">
        <f aca="false">(AF5-1)*7</f>
        <v>175</v>
      </c>
      <c r="AG4" s="64" t="n">
        <f aca="false">(AG5-1)*7</f>
        <v>182</v>
      </c>
      <c r="AH4" s="64" t="n">
        <f aca="false">(AH5-1)*7</f>
        <v>189</v>
      </c>
      <c r="AI4" s="64" t="n">
        <f aca="false">(AI5-1)*7</f>
        <v>196</v>
      </c>
      <c r="AJ4" s="64" t="n">
        <f aca="false">(AJ5-1)*7</f>
        <v>203</v>
      </c>
      <c r="AK4" s="64" t="n">
        <f aca="false">(AK5-1)*7</f>
        <v>210</v>
      </c>
      <c r="AL4" s="64" t="n">
        <f aca="false">(AL5-1)*7</f>
        <v>217</v>
      </c>
      <c r="AM4" s="64" t="n">
        <f aca="false">(AM5-1)*7</f>
        <v>224</v>
      </c>
      <c r="AN4" s="64" t="n">
        <f aca="false">(AN5-1)*7</f>
        <v>231</v>
      </c>
      <c r="AO4" s="64" t="n">
        <f aca="false">(AO5-1)*7</f>
        <v>238</v>
      </c>
      <c r="AP4" s="64" t="n">
        <f aca="false">(AP5-1)*7</f>
        <v>245</v>
      </c>
      <c r="AQ4" s="64" t="n">
        <f aca="false">(AQ5-1)*7</f>
        <v>252</v>
      </c>
      <c r="AR4" s="64" t="n">
        <f aca="false">(AR5-1)*7</f>
        <v>259</v>
      </c>
      <c r="AS4" s="64" t="n">
        <f aca="false">(AS5-1)*7</f>
        <v>266</v>
      </c>
      <c r="AT4" s="64" t="n">
        <f aca="false">(AT5-1)*7</f>
        <v>273</v>
      </c>
      <c r="AU4" s="64" t="n">
        <f aca="false">(AU5-1)*7</f>
        <v>280</v>
      </c>
      <c r="AV4" s="64" t="n">
        <f aca="false">(AV5-1)*7</f>
        <v>287</v>
      </c>
      <c r="AW4" s="64" t="n">
        <f aca="false">(AW5-1)*7</f>
        <v>294</v>
      </c>
      <c r="AX4" s="64" t="n">
        <f aca="false">(AX5-1)*7</f>
        <v>301</v>
      </c>
      <c r="AY4" s="64" t="n">
        <f aca="false">(AY5-1)*7</f>
        <v>308</v>
      </c>
      <c r="AZ4" s="64" t="n">
        <f aca="false">(AZ5-1)*7</f>
        <v>315</v>
      </c>
      <c r="BA4" s="64" t="n">
        <f aca="false">(BA5-1)*7</f>
        <v>322</v>
      </c>
      <c r="BB4" s="64" t="n">
        <f aca="false">(BB5-1)*7</f>
        <v>329</v>
      </c>
      <c r="BC4" s="64" t="n">
        <f aca="false">(BC5-1)*7</f>
        <v>336</v>
      </c>
      <c r="BD4" s="64" t="n">
        <f aca="false">(BD5-1)*7</f>
        <v>343</v>
      </c>
      <c r="BE4" s="64" t="n">
        <f aca="false">(BE5-1)*7</f>
        <v>350</v>
      </c>
      <c r="BF4" s="64" t="n">
        <f aca="false">(BF5-1)*7</f>
        <v>357</v>
      </c>
    </row>
    <row r="5" customFormat="false" ht="31.5" hidden="false" customHeight="true" outlineLevel="0" collapsed="false">
      <c r="A5" s="10" t="s">
        <v>171</v>
      </c>
      <c r="B5" s="10" t="s">
        <v>172</v>
      </c>
      <c r="C5" s="10" t="s">
        <v>173</v>
      </c>
      <c r="D5" s="10" t="s">
        <v>174</v>
      </c>
      <c r="E5" s="10" t="s">
        <v>175</v>
      </c>
      <c r="F5" s="10" t="s">
        <v>176</v>
      </c>
      <c r="G5" s="65" t="n">
        <v>1</v>
      </c>
      <c r="H5" s="65" t="n">
        <v>2</v>
      </c>
      <c r="I5" s="65" t="n">
        <v>3</v>
      </c>
      <c r="J5" s="65" t="n">
        <v>4</v>
      </c>
      <c r="K5" s="65" t="n">
        <v>5</v>
      </c>
      <c r="L5" s="65" t="n">
        <v>6</v>
      </c>
      <c r="M5" s="65" t="n">
        <v>7</v>
      </c>
      <c r="N5" s="65" t="n">
        <v>8</v>
      </c>
      <c r="O5" s="65" t="n">
        <v>9</v>
      </c>
      <c r="P5" s="65" t="n">
        <v>10</v>
      </c>
      <c r="Q5" s="65" t="n">
        <v>11</v>
      </c>
      <c r="R5" s="65" t="n">
        <v>12</v>
      </c>
      <c r="S5" s="65" t="n">
        <v>13</v>
      </c>
      <c r="T5" s="65" t="n">
        <v>14</v>
      </c>
      <c r="U5" s="65" t="n">
        <v>15</v>
      </c>
      <c r="V5" s="65" t="n">
        <v>16</v>
      </c>
      <c r="W5" s="65" t="n">
        <v>17</v>
      </c>
      <c r="X5" s="65" t="n">
        <v>18</v>
      </c>
      <c r="Y5" s="65" t="n">
        <v>19</v>
      </c>
      <c r="Z5" s="65" t="n">
        <v>20</v>
      </c>
      <c r="AA5" s="65" t="n">
        <v>21</v>
      </c>
      <c r="AB5" s="65" t="n">
        <v>22</v>
      </c>
      <c r="AC5" s="65" t="n">
        <v>23</v>
      </c>
      <c r="AD5" s="65" t="n">
        <v>24</v>
      </c>
      <c r="AE5" s="65" t="n">
        <v>25</v>
      </c>
      <c r="AF5" s="65" t="n">
        <v>26</v>
      </c>
      <c r="AG5" s="65" t="n">
        <v>27</v>
      </c>
      <c r="AH5" s="65" t="n">
        <v>28</v>
      </c>
      <c r="AI5" s="65" t="n">
        <v>29</v>
      </c>
      <c r="AJ5" s="65" t="n">
        <v>30</v>
      </c>
      <c r="AK5" s="65" t="n">
        <v>31</v>
      </c>
      <c r="AL5" s="65" t="n">
        <v>32</v>
      </c>
      <c r="AM5" s="65" t="n">
        <v>33</v>
      </c>
      <c r="AN5" s="65" t="n">
        <v>34</v>
      </c>
      <c r="AO5" s="65" t="n">
        <v>35</v>
      </c>
      <c r="AP5" s="65" t="n">
        <v>36</v>
      </c>
      <c r="AQ5" s="65" t="n">
        <v>37</v>
      </c>
      <c r="AR5" s="65" t="n">
        <v>38</v>
      </c>
      <c r="AS5" s="65" t="n">
        <v>39</v>
      </c>
      <c r="AT5" s="65" t="n">
        <v>40</v>
      </c>
      <c r="AU5" s="65" t="n">
        <v>41</v>
      </c>
      <c r="AV5" s="65" t="n">
        <v>42</v>
      </c>
      <c r="AW5" s="65" t="n">
        <v>43</v>
      </c>
      <c r="AX5" s="65" t="n">
        <v>44</v>
      </c>
      <c r="AY5" s="65" t="n">
        <v>45</v>
      </c>
      <c r="AZ5" s="65" t="n">
        <v>46</v>
      </c>
      <c r="BA5" s="65" t="n">
        <v>47</v>
      </c>
      <c r="BB5" s="65" t="n">
        <v>48</v>
      </c>
      <c r="BC5" s="65" t="n">
        <v>49</v>
      </c>
      <c r="BD5" s="65" t="n">
        <v>50</v>
      </c>
      <c r="BE5" s="65" t="n">
        <v>51</v>
      </c>
      <c r="BF5" s="65" t="n">
        <v>52</v>
      </c>
    </row>
    <row r="6" customFormat="false" ht="25.5" hidden="false" customHeight="true" outlineLevel="0" collapsed="false">
      <c r="A6" s="66" t="s">
        <v>177</v>
      </c>
      <c r="B6" s="67" t="s">
        <v>178</v>
      </c>
      <c r="C6" s="66" t="s">
        <v>179</v>
      </c>
      <c r="D6" s="68" t="n">
        <v>0</v>
      </c>
      <c r="E6" s="68" t="n">
        <v>14</v>
      </c>
      <c r="F6" s="23" t="n">
        <f aca="false">D6+E6</f>
        <v>14</v>
      </c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</row>
    <row r="7" customFormat="false" ht="25.5" hidden="false" customHeight="true" outlineLevel="0" collapsed="false">
      <c r="A7" s="66" t="s">
        <v>177</v>
      </c>
      <c r="B7" s="67" t="s">
        <v>180</v>
      </c>
      <c r="C7" s="66" t="s">
        <v>179</v>
      </c>
      <c r="D7" s="68" t="n">
        <v>0</v>
      </c>
      <c r="E7" s="68" t="n">
        <v>30</v>
      </c>
      <c r="F7" s="23" t="n">
        <f aca="false">D7+E7</f>
        <v>30</v>
      </c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</row>
    <row r="8" customFormat="false" ht="25.5" hidden="false" customHeight="true" outlineLevel="0" collapsed="false">
      <c r="A8" s="66" t="s">
        <v>177</v>
      </c>
      <c r="B8" s="67" t="s">
        <v>181</v>
      </c>
      <c r="C8" s="66" t="s">
        <v>179</v>
      </c>
      <c r="D8" s="68" t="n">
        <v>0</v>
      </c>
      <c r="E8" s="68" t="n">
        <v>30</v>
      </c>
      <c r="F8" s="23" t="n">
        <f aca="false">D8+E8</f>
        <v>30</v>
      </c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</row>
    <row r="9" customFormat="false" ht="25.5" hidden="false" customHeight="true" outlineLevel="0" collapsed="false">
      <c r="A9" s="66" t="s">
        <v>177</v>
      </c>
      <c r="B9" s="67" t="s">
        <v>182</v>
      </c>
      <c r="C9" s="66" t="s">
        <v>183</v>
      </c>
      <c r="D9" s="68" t="n">
        <v>0</v>
      </c>
      <c r="E9" s="68" t="n">
        <v>21</v>
      </c>
      <c r="F9" s="23" t="n">
        <f aca="false">D9+E9</f>
        <v>21</v>
      </c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</row>
    <row r="10" customFormat="false" ht="25.5" hidden="false" customHeight="true" outlineLevel="0" collapsed="false">
      <c r="A10" s="66" t="s">
        <v>184</v>
      </c>
      <c r="B10" s="67" t="s">
        <v>185</v>
      </c>
      <c r="C10" s="66" t="s">
        <v>183</v>
      </c>
      <c r="D10" s="68" t="n">
        <v>30</v>
      </c>
      <c r="E10" s="68" t="n">
        <v>60</v>
      </c>
      <c r="F10" s="23" t="n">
        <f aca="false">D10+E10</f>
        <v>90</v>
      </c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</row>
    <row r="11" customFormat="false" ht="25.5" hidden="false" customHeight="true" outlineLevel="0" collapsed="false">
      <c r="A11" s="66" t="s">
        <v>184</v>
      </c>
      <c r="B11" s="67" t="s">
        <v>186</v>
      </c>
      <c r="C11" s="66" t="s">
        <v>187</v>
      </c>
      <c r="D11" s="68" t="n">
        <v>30</v>
      </c>
      <c r="E11" s="68" t="n">
        <v>60</v>
      </c>
      <c r="F11" s="23" t="n">
        <f aca="false">D11+E11</f>
        <v>90</v>
      </c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</row>
    <row r="12" customFormat="false" ht="25.5" hidden="false" customHeight="true" outlineLevel="0" collapsed="false">
      <c r="A12" s="66" t="s">
        <v>184</v>
      </c>
      <c r="B12" s="67" t="s">
        <v>188</v>
      </c>
      <c r="C12" s="66" t="s">
        <v>189</v>
      </c>
      <c r="D12" s="68" t="n">
        <v>60</v>
      </c>
      <c r="E12" s="68" t="n">
        <v>30</v>
      </c>
      <c r="F12" s="23" t="n">
        <f aca="false">D12+E12</f>
        <v>90</v>
      </c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</row>
    <row r="13" customFormat="false" ht="25.5" hidden="false" customHeight="true" outlineLevel="0" collapsed="false">
      <c r="A13" s="66" t="s">
        <v>190</v>
      </c>
      <c r="B13" s="67" t="s">
        <v>191</v>
      </c>
      <c r="C13" s="66" t="s">
        <v>183</v>
      </c>
      <c r="D13" s="68" t="n">
        <v>90</v>
      </c>
      <c r="E13" s="68" t="n">
        <v>120</v>
      </c>
      <c r="F13" s="23" t="n">
        <f aca="false">D13+E13</f>
        <v>210</v>
      </c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</row>
    <row r="14" customFormat="false" ht="25.5" hidden="false" customHeight="true" outlineLevel="0" collapsed="false">
      <c r="A14" s="66" t="s">
        <v>190</v>
      </c>
      <c r="B14" s="67" t="s">
        <v>192</v>
      </c>
      <c r="C14" s="66" t="s">
        <v>193</v>
      </c>
      <c r="D14" s="68" t="n">
        <v>90</v>
      </c>
      <c r="E14" s="68" t="n">
        <v>275</v>
      </c>
      <c r="F14" s="23" t="n">
        <f aca="false">D14+E14</f>
        <v>365</v>
      </c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</row>
    <row r="15" customFormat="false" ht="25.5" hidden="false" customHeight="true" outlineLevel="0" collapsed="false">
      <c r="A15" s="66" t="s">
        <v>190</v>
      </c>
      <c r="B15" s="67" t="s">
        <v>194</v>
      </c>
      <c r="C15" s="66" t="s">
        <v>193</v>
      </c>
      <c r="D15" s="68" t="n">
        <v>300</v>
      </c>
      <c r="E15" s="68" t="n">
        <v>45</v>
      </c>
      <c r="F15" s="23" t="n">
        <f aca="false">D15+E15</f>
        <v>345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</row>
    <row r="16" customFormat="false" ht="25.5" hidden="false" customHeight="true" outlineLevel="0" collapsed="false">
      <c r="A16" s="66" t="s">
        <v>190</v>
      </c>
      <c r="B16" s="67" t="s">
        <v>195</v>
      </c>
      <c r="C16" s="66" t="s">
        <v>193</v>
      </c>
      <c r="D16" s="68" t="n">
        <v>335</v>
      </c>
      <c r="E16" s="68" t="n">
        <v>30</v>
      </c>
      <c r="F16" s="23" t="n">
        <f aca="false">D16+E16</f>
        <v>365</v>
      </c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</row>
    <row r="18" customFormat="false" ht="15" hidden="false" customHeight="false" outlineLevel="0" collapsed="false">
      <c r="A18" s="35" t="s">
        <v>196</v>
      </c>
      <c r="B18" s="70" t="s">
        <v>177</v>
      </c>
    </row>
    <row r="19" customFormat="false" ht="15" hidden="false" customHeight="false" outlineLevel="0" collapsed="false">
      <c r="B19" s="71" t="s">
        <v>184</v>
      </c>
    </row>
    <row r="20" customFormat="false" ht="15" hidden="false" customHeight="false" outlineLevel="0" collapsed="false">
      <c r="B20" s="72" t="s">
        <v>190</v>
      </c>
    </row>
  </sheetData>
  <conditionalFormatting sqref="G6:BF16">
    <cfRule type="expression" priority="2" aboveAverage="0" equalAverage="0" bottom="0" percent="0" rank="0" text="" dxfId="6">
      <formula>AND(G$4&lt;$F6,G$4+7&gt;$D6,$A6="Immediate (0-30 days)")</formula>
    </cfRule>
    <cfRule type="expression" priority="3" aboveAverage="0" equalAverage="0" bottom="0" percent="0" rank="0" text="" dxfId="7">
      <formula>AND(G$4&lt;$F6,G$4+7&gt;$D6,$A6="Short-term (31-90 days)")</formula>
    </cfRule>
    <cfRule type="expression" priority="4" aboveAverage="0" equalAverage="0" bottom="0" percent="0" rank="0" text="" dxfId="8">
      <formula>AND(G$4&lt;$F6,G$4+7&gt;$D6,$A6="Long-term (91-365 days)")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38"/>
    <col collapsed="false" customWidth="true" hidden="false" outlineLevel="0" max="5" min="5" style="0" width="20"/>
    <col collapsed="false" customWidth="true" hidden="false" outlineLevel="0" max="7" min="6" style="0" width="22"/>
    <col collapsed="false" customWidth="true" hidden="false" outlineLevel="0" max="8" min="8" style="0" width="16"/>
    <col collapsed="false" customWidth="true" hidden="false" outlineLevel="0" max="9" min="9" style="0" width="24"/>
    <col collapsed="false" customWidth="true" hidden="false" outlineLevel="0" max="10" min="10" style="0" width="20"/>
  </cols>
  <sheetData>
    <row r="1" customFormat="false" ht="17.35" hidden="false" customHeight="false" outlineLevel="0" collapsed="false">
      <c r="A1" s="1" t="s">
        <v>197</v>
      </c>
    </row>
    <row r="2" customFormat="false" ht="15" hidden="false" customHeight="false" outlineLevel="0" collapsed="false">
      <c r="A2" s="4" t="s">
        <v>198</v>
      </c>
    </row>
    <row r="3" customFormat="false" ht="15" hidden="false" customHeight="false" outlineLevel="0" collapsed="false">
      <c r="A3" s="73" t="s">
        <v>199</v>
      </c>
      <c r="B3" s="74" t="n">
        <f aca="false">Inputs!B33</f>
        <v>500000</v>
      </c>
    </row>
    <row r="5" customFormat="false" ht="15" hidden="false" customHeight="false" outlineLevel="0" collapsed="false">
      <c r="A5" s="5" t="s">
        <v>200</v>
      </c>
    </row>
    <row r="6" customFormat="false" ht="31.5" hidden="false" customHeight="true" outlineLevel="0" collapsed="false">
      <c r="A6" s="10" t="s">
        <v>201</v>
      </c>
      <c r="B6" s="10" t="str">
        <f aca="false">'Control Analysis'!B5</f>
        <v>Advanced API Security Gateway</v>
      </c>
      <c r="C6" s="10" t="str">
        <f aca="false">'Control Analysis'!B6</f>
        <v>Web Application Firewall (WAF)</v>
      </c>
      <c r="D6" s="10" t="str">
        <f aca="false">'Control Analysis'!B7</f>
        <v>Multi-Factor Authentication Enhancement</v>
      </c>
      <c r="E6" s="10" t="s">
        <v>137</v>
      </c>
      <c r="F6" s="10" t="s">
        <v>135</v>
      </c>
      <c r="G6" s="10" t="s">
        <v>202</v>
      </c>
      <c r="H6" s="10" t="s">
        <v>203</v>
      </c>
      <c r="I6" s="10" t="s">
        <v>204</v>
      </c>
      <c r="J6" s="10" t="s">
        <v>205</v>
      </c>
    </row>
    <row r="7" customFormat="false" ht="15" hidden="false" customHeight="false" outlineLevel="0" collapsed="false">
      <c r="A7" s="6" t="s">
        <v>206</v>
      </c>
      <c r="B7" s="68" t="n">
        <v>0</v>
      </c>
      <c r="C7" s="68" t="n">
        <v>0</v>
      </c>
      <c r="D7" s="68" t="n">
        <v>0</v>
      </c>
      <c r="E7" s="20" t="n">
        <f aca="false">B7*'Control Analysis'!$J$5+C7*'Control Analysis'!$J$6+D7*'Control Analysis'!$J$7</f>
        <v>0</v>
      </c>
      <c r="F7" s="20" t="n">
        <f aca="false">B7*'Control Analysis'!$G$5+C7*'Control Analysis'!$G$6+D7*'Control Analysis'!$G$7</f>
        <v>0</v>
      </c>
      <c r="G7" s="20" t="n">
        <f aca="false">F7-E7</f>
        <v>0</v>
      </c>
      <c r="H7" s="24" t="str">
        <f aca="false">IF(E7&lt;=$B$3,"Yes","No")</f>
        <v>Yes</v>
      </c>
      <c r="I7" s="20" t="n">
        <f aca="false">IF(H7="Yes",G7,"")</f>
        <v>0</v>
      </c>
      <c r="J7" s="20" t="n">
        <f aca="false">'Risk Calc'!$E$8-F7</f>
        <v>35000000</v>
      </c>
    </row>
    <row r="8" customFormat="false" ht="15" hidden="false" customHeight="false" outlineLevel="0" collapsed="false">
      <c r="A8" s="6" t="s">
        <v>207</v>
      </c>
      <c r="B8" s="68" t="n">
        <v>1</v>
      </c>
      <c r="C8" s="68" t="n">
        <v>0</v>
      </c>
      <c r="D8" s="68" t="n">
        <v>0</v>
      </c>
      <c r="E8" s="20" t="n">
        <f aca="false">B8*'Control Analysis'!$J$5+C8*'Control Analysis'!$J$6+D8*'Control Analysis'!$J$7</f>
        <v>400000</v>
      </c>
      <c r="F8" s="20" t="n">
        <f aca="false">B8*'Control Analysis'!$G$5+C8*'Control Analysis'!$G$6+D8*'Control Analysis'!$G$7</f>
        <v>675000</v>
      </c>
      <c r="G8" s="20" t="n">
        <f aca="false">F8-E8</f>
        <v>275000</v>
      </c>
      <c r="H8" s="24" t="str">
        <f aca="false">IF(E8&lt;=$B$3,"Yes","No")</f>
        <v>Yes</v>
      </c>
      <c r="I8" s="20" t="n">
        <f aca="false">IF(H8="Yes",G8,"")</f>
        <v>275000</v>
      </c>
      <c r="J8" s="20" t="n">
        <f aca="false">'Risk Calc'!$E$8-F8</f>
        <v>34325000</v>
      </c>
    </row>
    <row r="9" customFormat="false" ht="15" hidden="false" customHeight="false" outlineLevel="0" collapsed="false">
      <c r="A9" s="6" t="s">
        <v>208</v>
      </c>
      <c r="B9" s="68" t="n">
        <v>0</v>
      </c>
      <c r="C9" s="68" t="n">
        <v>1</v>
      </c>
      <c r="D9" s="68" t="n">
        <v>0</v>
      </c>
      <c r="E9" s="20" t="n">
        <f aca="false">B9*'Control Analysis'!$J$5+C9*'Control Analysis'!$J$6+D9*'Control Analysis'!$J$7</f>
        <v>175000</v>
      </c>
      <c r="F9" s="20" t="n">
        <f aca="false">B9*'Control Analysis'!$G$5+C9*'Control Analysis'!$G$6+D9*'Control Analysis'!$G$7</f>
        <v>23437500</v>
      </c>
      <c r="G9" s="20" t="n">
        <f aca="false">F9-E9</f>
        <v>23262500</v>
      </c>
      <c r="H9" s="24" t="str">
        <f aca="false">IF(E9&lt;=$B$3,"Yes","No")</f>
        <v>Yes</v>
      </c>
      <c r="I9" s="20" t="n">
        <f aca="false">IF(H9="Yes",G9,"")</f>
        <v>23262500</v>
      </c>
      <c r="J9" s="20" t="n">
        <f aca="false">'Risk Calc'!$E$8-F9</f>
        <v>11562500</v>
      </c>
    </row>
    <row r="10" customFormat="false" ht="15" hidden="false" customHeight="false" outlineLevel="0" collapsed="false">
      <c r="A10" s="6" t="s">
        <v>209</v>
      </c>
      <c r="B10" s="68" t="n">
        <v>0</v>
      </c>
      <c r="C10" s="68" t="n">
        <v>0</v>
      </c>
      <c r="D10" s="68" t="n">
        <v>1</v>
      </c>
      <c r="E10" s="20" t="n">
        <f aca="false">B10*'Control Analysis'!$J$5+C10*'Control Analysis'!$J$6+D10*'Control Analysis'!$J$7</f>
        <v>230000</v>
      </c>
      <c r="F10" s="20" t="n">
        <f aca="false">B10*'Control Analysis'!$G$5+C10*'Control Analysis'!$G$6+D10*'Control Analysis'!$G$7</f>
        <v>2850000</v>
      </c>
      <c r="G10" s="20" t="n">
        <f aca="false">F10-E10</f>
        <v>2620000</v>
      </c>
      <c r="H10" s="24" t="str">
        <f aca="false">IF(E10&lt;=$B$3,"Yes","No")</f>
        <v>Yes</v>
      </c>
      <c r="I10" s="20" t="n">
        <f aca="false">IF(H10="Yes",G10,"")</f>
        <v>2620000</v>
      </c>
      <c r="J10" s="20" t="n">
        <f aca="false">'Risk Calc'!$E$8-F10</f>
        <v>32150000</v>
      </c>
    </row>
    <row r="11" customFormat="false" ht="15" hidden="false" customHeight="false" outlineLevel="0" collapsed="false">
      <c r="A11" s="6" t="s">
        <v>210</v>
      </c>
      <c r="B11" s="68" t="n">
        <v>1</v>
      </c>
      <c r="C11" s="68" t="n">
        <v>1</v>
      </c>
      <c r="D11" s="68" t="n">
        <v>0</v>
      </c>
      <c r="E11" s="20" t="n">
        <f aca="false">B11*'Control Analysis'!$J$5+C11*'Control Analysis'!$J$6+D11*'Control Analysis'!$J$7</f>
        <v>575000</v>
      </c>
      <c r="F11" s="20" t="n">
        <f aca="false">B11*'Control Analysis'!$G$5+C11*'Control Analysis'!$G$6+D11*'Control Analysis'!$G$7</f>
        <v>24112500</v>
      </c>
      <c r="G11" s="20" t="n">
        <f aca="false">F11-E11</f>
        <v>23537500</v>
      </c>
      <c r="H11" s="24" t="str">
        <f aca="false">IF(E11&lt;=$B$3,"Yes","No")</f>
        <v>No</v>
      </c>
      <c r="I11" s="20" t="str">
        <f aca="false">IF(H11="Yes",G11,"")</f>
        <v/>
      </c>
      <c r="J11" s="20" t="n">
        <f aca="false">'Risk Calc'!$E$8-F11</f>
        <v>10887500</v>
      </c>
    </row>
    <row r="12" customFormat="false" ht="15" hidden="false" customHeight="false" outlineLevel="0" collapsed="false">
      <c r="A12" s="6" t="s">
        <v>211</v>
      </c>
      <c r="B12" s="68" t="n">
        <v>1</v>
      </c>
      <c r="C12" s="68" t="n">
        <v>0</v>
      </c>
      <c r="D12" s="68" t="n">
        <v>1</v>
      </c>
      <c r="E12" s="20" t="n">
        <f aca="false">B12*'Control Analysis'!$J$5+C12*'Control Analysis'!$J$6+D12*'Control Analysis'!$J$7</f>
        <v>630000</v>
      </c>
      <c r="F12" s="20" t="n">
        <f aca="false">B12*'Control Analysis'!$G$5+C12*'Control Analysis'!$G$6+D12*'Control Analysis'!$G$7</f>
        <v>3525000</v>
      </c>
      <c r="G12" s="20" t="n">
        <f aca="false">F12-E12</f>
        <v>2895000</v>
      </c>
      <c r="H12" s="24" t="str">
        <f aca="false">IF(E12&lt;=$B$3,"Yes","No")</f>
        <v>No</v>
      </c>
      <c r="I12" s="20" t="str">
        <f aca="false">IF(H12="Yes",G12,"")</f>
        <v/>
      </c>
      <c r="J12" s="20" t="n">
        <f aca="false">'Risk Calc'!$E$8-F12</f>
        <v>31475000</v>
      </c>
    </row>
    <row r="13" customFormat="false" ht="15" hidden="false" customHeight="false" outlineLevel="0" collapsed="false">
      <c r="A13" s="6" t="s">
        <v>212</v>
      </c>
      <c r="B13" s="68" t="n">
        <v>0</v>
      </c>
      <c r="C13" s="68" t="n">
        <v>1</v>
      </c>
      <c r="D13" s="68" t="n">
        <v>1</v>
      </c>
      <c r="E13" s="20" t="n">
        <f aca="false">B13*'Control Analysis'!$J$5+C13*'Control Analysis'!$J$6+D13*'Control Analysis'!$J$7</f>
        <v>405000</v>
      </c>
      <c r="F13" s="20" t="n">
        <f aca="false">B13*'Control Analysis'!$G$5+C13*'Control Analysis'!$G$6+D13*'Control Analysis'!$G$7</f>
        <v>26287500</v>
      </c>
      <c r="G13" s="20" t="n">
        <f aca="false">F13-E13</f>
        <v>25882500</v>
      </c>
      <c r="H13" s="24" t="str">
        <f aca="false">IF(E13&lt;=$B$3,"Yes","No")</f>
        <v>Yes</v>
      </c>
      <c r="I13" s="20" t="n">
        <f aca="false">IF(H13="Yes",G13,"")</f>
        <v>25882500</v>
      </c>
      <c r="J13" s="20" t="n">
        <f aca="false">'Risk Calc'!$E$8-F13</f>
        <v>8712500</v>
      </c>
    </row>
    <row r="14" customFormat="false" ht="15" hidden="false" customHeight="false" outlineLevel="0" collapsed="false">
      <c r="A14" s="6" t="s">
        <v>213</v>
      </c>
      <c r="B14" s="68" t="n">
        <v>1</v>
      </c>
      <c r="C14" s="68" t="n">
        <v>1</v>
      </c>
      <c r="D14" s="68" t="n">
        <v>1</v>
      </c>
      <c r="E14" s="20" t="n">
        <f aca="false">B14*'Control Analysis'!$J$5+C14*'Control Analysis'!$J$6+D14*'Control Analysis'!$J$7</f>
        <v>805000</v>
      </c>
      <c r="F14" s="20" t="n">
        <f aca="false">B14*'Control Analysis'!$G$5+C14*'Control Analysis'!$G$6+D14*'Control Analysis'!$G$7</f>
        <v>26962500</v>
      </c>
      <c r="G14" s="20" t="n">
        <f aca="false">F14-E14</f>
        <v>26157500</v>
      </c>
      <c r="H14" s="24" t="str">
        <f aca="false">IF(E14&lt;=$B$3,"Yes","No")</f>
        <v>No</v>
      </c>
      <c r="I14" s="20" t="str">
        <f aca="false">IF(H14="Yes",G14,"")</f>
        <v/>
      </c>
      <c r="J14" s="20" t="n">
        <f aca="false">'Risk Calc'!$E$8-F14</f>
        <v>8037500</v>
      </c>
    </row>
    <row r="16" customFormat="false" ht="15" hidden="false" customHeight="false" outlineLevel="0" collapsed="false">
      <c r="A16" s="26" t="s">
        <v>214</v>
      </c>
      <c r="B16" s="26" t="str">
        <f aca="false">INDEX(A7:A14,MATCH(MAX(I7:I14),I7:I14,0))</f>
        <v>WAF + MFA</v>
      </c>
    </row>
    <row r="17" customFormat="false" ht="15" hidden="false" customHeight="false" outlineLevel="0" collapsed="false">
      <c r="A17" s="6" t="s">
        <v>202</v>
      </c>
      <c r="B17" s="20" t="n">
        <f aca="false">MAX(I7:I14)</f>
        <v>25882500</v>
      </c>
    </row>
    <row r="18" customFormat="false" ht="15" hidden="false" customHeight="false" outlineLevel="0" collapsed="false">
      <c r="A18" s="6" t="s">
        <v>137</v>
      </c>
      <c r="B18" s="20" t="n">
        <f aca="false">INDEX(E7:E14,MATCH(MAX(I7:I14),I7:I14,0))</f>
        <v>405000</v>
      </c>
    </row>
    <row r="19" customFormat="false" ht="15" hidden="false" customHeight="false" outlineLevel="0" collapsed="false">
      <c r="A19" s="6" t="s">
        <v>205</v>
      </c>
      <c r="B19" s="20" t="n">
        <f aca="false">INDEX(J7:J14,MATCH(MAX(I7:I14),I7:I14,0))</f>
        <v>8712500</v>
      </c>
    </row>
    <row r="22" customFormat="false" ht="15" hidden="false" customHeight="false" outlineLevel="0" collapsed="false">
      <c r="A22" s="5" t="s">
        <v>215</v>
      </c>
    </row>
    <row r="23" customFormat="false" ht="31.5" hidden="false" customHeight="true" outlineLevel="0" collapsed="false">
      <c r="A23" s="10" t="s">
        <v>52</v>
      </c>
      <c r="B23" s="10" t="s">
        <v>72</v>
      </c>
      <c r="C23" s="10" t="s">
        <v>216</v>
      </c>
      <c r="D23" s="10" t="s">
        <v>217</v>
      </c>
      <c r="E23" s="10" t="s">
        <v>135</v>
      </c>
      <c r="F23" s="10" t="s">
        <v>218</v>
      </c>
      <c r="G23" s="10" t="s">
        <v>202</v>
      </c>
      <c r="H23" s="10" t="s">
        <v>219</v>
      </c>
      <c r="I23" s="10" t="s">
        <v>220</v>
      </c>
    </row>
    <row r="24" customFormat="false" ht="15" hidden="false" customHeight="false" outlineLevel="0" collapsed="false">
      <c r="A24" s="19" t="str">
        <f aca="false">'Control Analysis'!D5</f>
        <v>API Authentication Bypass</v>
      </c>
      <c r="B24" s="19" t="str">
        <f aca="false">'Control Analysis'!B5</f>
        <v>Advanced API Security Gateway</v>
      </c>
      <c r="C24" s="40" t="n">
        <f aca="false">'Control Analysis'!E5</f>
        <v>750000</v>
      </c>
      <c r="D24" s="40" t="n">
        <f aca="false">'Control Analysis'!J5</f>
        <v>400000</v>
      </c>
      <c r="E24" s="40" t="n">
        <f aca="false">'Control Analysis'!G5</f>
        <v>675000</v>
      </c>
      <c r="F24" s="20" t="n">
        <f aca="false">C24-E24</f>
        <v>75000</v>
      </c>
      <c r="G24" s="20" t="n">
        <f aca="false">E24-D24</f>
        <v>275000</v>
      </c>
      <c r="H24" s="75" t="n">
        <f aca="false">IF(D24=0,0,E24/D24)</f>
        <v>1.6875</v>
      </c>
      <c r="I24" s="24" t="str">
        <f aca="false">IF(INDEX(B$7:B$14,MATCH(MAX($I$7:$I$14),$I$7:$I$14,0))=1,"Yes","No")</f>
        <v>No</v>
      </c>
    </row>
    <row r="25" customFormat="false" ht="15" hidden="false" customHeight="false" outlineLevel="0" collapsed="false">
      <c r="A25" s="19" t="str">
        <f aca="false">'Control Analysis'!D6</f>
        <v>Database Injection</v>
      </c>
      <c r="B25" s="19" t="str">
        <f aca="false">'Control Analysis'!B6</f>
        <v>Web Application Firewall (WAF)</v>
      </c>
      <c r="C25" s="40" t="n">
        <f aca="false">'Control Analysis'!E6</f>
        <v>31250000</v>
      </c>
      <c r="D25" s="40" t="n">
        <f aca="false">'Control Analysis'!J6</f>
        <v>175000</v>
      </c>
      <c r="E25" s="40" t="n">
        <f aca="false">'Control Analysis'!G6</f>
        <v>23437500</v>
      </c>
      <c r="F25" s="20" t="n">
        <f aca="false">C25-E25</f>
        <v>7812500</v>
      </c>
      <c r="G25" s="20" t="n">
        <f aca="false">E25-D25</f>
        <v>23262500</v>
      </c>
      <c r="H25" s="75" t="n">
        <f aca="false">IF(D25=0,0,E25/D25)</f>
        <v>133.928571428571</v>
      </c>
      <c r="I25" s="24" t="str">
        <f aca="false">IF(INDEX(C$7:C$14,MATCH(MAX($I$7:$I$14),$I$7:$I$14,0))=1,"Yes","No")</f>
        <v>Yes</v>
      </c>
    </row>
    <row r="26" customFormat="false" ht="15" hidden="false" customHeight="false" outlineLevel="0" collapsed="false">
      <c r="A26" s="19" t="str">
        <f aca="false">'Control Analysis'!D7</f>
        <v>Session Hijacking</v>
      </c>
      <c r="B26" s="19" t="str">
        <f aca="false">'Control Analysis'!B7</f>
        <v>Multi-Factor Authentication Enhancement</v>
      </c>
      <c r="C26" s="40" t="n">
        <f aca="false">'Control Analysis'!E7</f>
        <v>3000000</v>
      </c>
      <c r="D26" s="40" t="n">
        <f aca="false">'Control Analysis'!J7</f>
        <v>230000</v>
      </c>
      <c r="E26" s="40" t="n">
        <f aca="false">'Control Analysis'!G7</f>
        <v>2850000</v>
      </c>
      <c r="F26" s="20" t="n">
        <f aca="false">C26-E26</f>
        <v>150000</v>
      </c>
      <c r="G26" s="20" t="n">
        <f aca="false">E26-D26</f>
        <v>2620000</v>
      </c>
      <c r="H26" s="75" t="n">
        <f aca="false">IF(D26=0,0,E26/D26)</f>
        <v>12.3913043478261</v>
      </c>
      <c r="I26" s="24" t="str">
        <f aca="false">IF(INDEX(D$7:D$14,MATCH(MAX($I$7:$I$14),$I$7:$I$14,0))=1,"Yes","No")</f>
        <v>Yes</v>
      </c>
    </row>
    <row r="27" customFormat="false" ht="15" hidden="false" customHeight="false" outlineLevel="0" collapsed="false">
      <c r="A27" s="26" t="s">
        <v>119</v>
      </c>
      <c r="B27" s="28"/>
      <c r="C27" s="27" t="n">
        <f aca="false">SUM(C24:C26)</f>
        <v>35000000</v>
      </c>
      <c r="D27" s="27" t="n">
        <f aca="false">SUM(D24:D26)</f>
        <v>805000</v>
      </c>
      <c r="E27" s="27" t="n">
        <f aca="false">SUM(E24:E26)</f>
        <v>26962500</v>
      </c>
      <c r="F27" s="27" t="n">
        <f aca="false">SUM(F24:F26)</f>
        <v>8037500</v>
      </c>
      <c r="G27" s="27" t="n">
        <f aca="false">SUM(G24:G26)</f>
        <v>26157500</v>
      </c>
      <c r="H27" s="76" t="n">
        <f aca="false">IF(D27=0,0,E27/D27)</f>
        <v>33.4937888198758</v>
      </c>
      <c r="I27" s="28"/>
    </row>
    <row r="29" customFormat="false" ht="15" hidden="false" customHeight="false" outlineLevel="0" collapsed="false">
      <c r="A29" s="4" t="s">
        <v>221</v>
      </c>
    </row>
  </sheetData>
  <conditionalFormatting sqref="A7:J14">
    <cfRule type="expression" priority="2" aboveAverage="0" equalAverage="0" bottom="0" percent="0" rank="0" text="" dxfId="3">
      <formula>AND($H7="Yes",$I7=MAX($I$7:$I$14))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36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222</v>
      </c>
    </row>
    <row r="2" customFormat="false" ht="15" hidden="false" customHeight="false" outlineLevel="0" collapsed="false">
      <c r="A2" s="4" t="s">
        <v>223</v>
      </c>
    </row>
    <row r="3" customFormat="false" ht="15" hidden="false" customHeight="false" outlineLevel="0" collapsed="false">
      <c r="A3" s="5" t="s">
        <v>224</v>
      </c>
    </row>
    <row r="4" customFormat="false" ht="31.5" hidden="false" customHeight="true" outlineLevel="0" collapsed="false">
      <c r="A4" s="10" t="s">
        <v>225</v>
      </c>
      <c r="B4" s="10" t="str">
        <f aca="false">'Control Analysis'!B5</f>
        <v>Advanced API Security Gateway</v>
      </c>
      <c r="C4" s="10" t="str">
        <f aca="false">'Control Analysis'!B6</f>
        <v>Web Application Firewall (WAF)</v>
      </c>
      <c r="D4" s="10" t="str">
        <f aca="false">'Control Analysis'!B7</f>
        <v>Multi-Factor Authentication Enhancement</v>
      </c>
      <c r="E4" s="10" t="s">
        <v>226</v>
      </c>
    </row>
    <row r="5" customFormat="false" ht="15" hidden="false" customHeight="false" outlineLevel="0" collapsed="false">
      <c r="A5" s="68" t="n">
        <v>0</v>
      </c>
      <c r="B5" s="20" t="n">
        <f aca="false">'Control Analysis'!$G$5*$A5-('Control Analysis'!$H$5+'Control Analysis'!$I$5*$A5)</f>
        <v>-350000</v>
      </c>
      <c r="C5" s="20" t="n">
        <f aca="false">'Control Analysis'!$G$6*$A5-('Control Analysis'!$H$6+'Control Analysis'!$I$6*$A5)</f>
        <v>-150000</v>
      </c>
      <c r="D5" s="20" t="n">
        <f aca="false">'Control Analysis'!$G$7*$A5-('Control Analysis'!$H$7+'Control Analysis'!$I$7*$A5)</f>
        <v>-200000</v>
      </c>
      <c r="E5" s="20" t="n">
        <f aca="false">SUM(B5:D5)</f>
        <v>-700000</v>
      </c>
    </row>
    <row r="6" customFormat="false" ht="15" hidden="false" customHeight="false" outlineLevel="0" collapsed="false">
      <c r="A6" s="68" t="n">
        <v>1</v>
      </c>
      <c r="B6" s="20" t="n">
        <f aca="false">'Control Analysis'!$G$5*$A6-('Control Analysis'!$H$5+'Control Analysis'!$I$5*$A6)</f>
        <v>275000</v>
      </c>
      <c r="C6" s="20" t="n">
        <f aca="false">'Control Analysis'!$G$6*$A6-('Control Analysis'!$H$6+'Control Analysis'!$I$6*$A6)</f>
        <v>23262500</v>
      </c>
      <c r="D6" s="20" t="n">
        <f aca="false">'Control Analysis'!$G$7*$A6-('Control Analysis'!$H$7+'Control Analysis'!$I$7*$A6)</f>
        <v>2620000</v>
      </c>
      <c r="E6" s="20" t="n">
        <f aca="false">SUM(B6:D6)</f>
        <v>26157500</v>
      </c>
    </row>
    <row r="7" customFormat="false" ht="15" hidden="false" customHeight="false" outlineLevel="0" collapsed="false">
      <c r="A7" s="68" t="n">
        <v>2</v>
      </c>
      <c r="B7" s="20" t="n">
        <f aca="false">'Control Analysis'!$G$5*$A7-('Control Analysis'!$H$5+'Control Analysis'!$I$5*$A7)</f>
        <v>900000</v>
      </c>
      <c r="C7" s="20" t="n">
        <f aca="false">'Control Analysis'!$G$6*$A7-('Control Analysis'!$H$6+'Control Analysis'!$I$6*$A7)</f>
        <v>46675000</v>
      </c>
      <c r="D7" s="20" t="n">
        <f aca="false">'Control Analysis'!$G$7*$A7-('Control Analysis'!$H$7+'Control Analysis'!$I$7*$A7)</f>
        <v>5440000</v>
      </c>
      <c r="E7" s="20" t="n">
        <f aca="false">SUM(B7:D7)</f>
        <v>53015000</v>
      </c>
    </row>
    <row r="8" customFormat="false" ht="15" hidden="false" customHeight="false" outlineLevel="0" collapsed="false">
      <c r="A8" s="68" t="n">
        <v>3</v>
      </c>
      <c r="B8" s="20" t="n">
        <f aca="false">'Control Analysis'!$G$5*$A8-('Control Analysis'!$H$5+'Control Analysis'!$I$5*$A8)</f>
        <v>1525000</v>
      </c>
      <c r="C8" s="20" t="n">
        <f aca="false">'Control Analysis'!$G$6*$A8-('Control Analysis'!$H$6+'Control Analysis'!$I$6*$A8)</f>
        <v>70087500</v>
      </c>
      <c r="D8" s="20" t="n">
        <f aca="false">'Control Analysis'!$G$7*$A8-('Control Analysis'!$H$7+'Control Analysis'!$I$7*$A8)</f>
        <v>8260000</v>
      </c>
      <c r="E8" s="20" t="n">
        <f aca="false">SUM(B8:D8)</f>
        <v>79872500</v>
      </c>
    </row>
    <row r="9" customFormat="false" ht="15" hidden="false" customHeight="false" outlineLevel="0" collapsed="false">
      <c r="A9" s="68" t="n">
        <v>4</v>
      </c>
      <c r="B9" s="20" t="n">
        <f aca="false">'Control Analysis'!$G$5*$A9-('Control Analysis'!$H$5+'Control Analysis'!$I$5*$A9)</f>
        <v>2150000</v>
      </c>
      <c r="C9" s="20" t="n">
        <f aca="false">'Control Analysis'!$G$6*$A9-('Control Analysis'!$H$6+'Control Analysis'!$I$6*$A9)</f>
        <v>93500000</v>
      </c>
      <c r="D9" s="20" t="n">
        <f aca="false">'Control Analysis'!$G$7*$A9-('Control Analysis'!$H$7+'Control Analysis'!$I$7*$A9)</f>
        <v>11080000</v>
      </c>
      <c r="E9" s="20" t="n">
        <f aca="false">SUM(B9:D9)</f>
        <v>106730000</v>
      </c>
    </row>
    <row r="10" customFormat="false" ht="15" hidden="false" customHeight="false" outlineLevel="0" collapsed="false">
      <c r="A10" s="68" t="n">
        <v>5</v>
      </c>
      <c r="B10" s="20" t="n">
        <f aca="false">'Control Analysis'!$G$5*$A10-('Control Analysis'!$H$5+'Control Analysis'!$I$5*$A10)</f>
        <v>2775000</v>
      </c>
      <c r="C10" s="20" t="n">
        <f aca="false">'Control Analysis'!$G$6*$A10-('Control Analysis'!$H$6+'Control Analysis'!$I$6*$A10)</f>
        <v>116912500</v>
      </c>
      <c r="D10" s="20" t="n">
        <f aca="false">'Control Analysis'!$G$7*$A10-('Control Analysis'!$H$7+'Control Analysis'!$I$7*$A10)</f>
        <v>13900000</v>
      </c>
      <c r="E10" s="20" t="n">
        <f aca="false">SUM(B10:D10)</f>
        <v>133587500</v>
      </c>
    </row>
    <row r="13" customFormat="false" ht="15" hidden="false" customHeight="false" outlineLevel="0" collapsed="false">
      <c r="A13" s="5" t="s">
        <v>227</v>
      </c>
    </row>
    <row r="14" customFormat="false" ht="31.5" hidden="false" customHeight="true" outlineLevel="0" collapsed="false">
      <c r="A14" s="10" t="s">
        <v>52</v>
      </c>
      <c r="B14" s="10" t="s">
        <v>216</v>
      </c>
      <c r="C14" s="10" t="s">
        <v>218</v>
      </c>
    </row>
    <row r="15" customFormat="false" ht="15" hidden="false" customHeight="false" outlineLevel="0" collapsed="false">
      <c r="A15" s="19" t="str">
        <f aca="false">'Risk Calc'!B5</f>
        <v>API Authentication Bypass</v>
      </c>
      <c r="B15" s="40" t="n">
        <f aca="false">'Risk Calc'!E5</f>
        <v>750000</v>
      </c>
      <c r="C15" s="40" t="n">
        <f aca="false">'Risk Calc'!L5</f>
        <v>75000</v>
      </c>
    </row>
    <row r="16" customFormat="false" ht="15" hidden="false" customHeight="false" outlineLevel="0" collapsed="false">
      <c r="A16" s="19" t="str">
        <f aca="false">'Risk Calc'!B6</f>
        <v>Database Injection</v>
      </c>
      <c r="B16" s="40" t="n">
        <f aca="false">'Risk Calc'!E6</f>
        <v>31250000</v>
      </c>
      <c r="C16" s="40" t="n">
        <f aca="false">'Risk Calc'!L6</f>
        <v>7812500</v>
      </c>
    </row>
    <row r="17" customFormat="false" ht="15" hidden="false" customHeight="false" outlineLevel="0" collapsed="false">
      <c r="A17" s="19" t="str">
        <f aca="false">'Risk Calc'!B7</f>
        <v>Session Hijacking</v>
      </c>
      <c r="B17" s="40" t="n">
        <f aca="false">'Risk Calc'!E7</f>
        <v>3000000</v>
      </c>
      <c r="C17" s="40" t="n">
        <f aca="false">'Risk Calc'!L7</f>
        <v>150000</v>
      </c>
    </row>
    <row r="20" customFormat="false" ht="15" hidden="false" customHeight="false" outlineLevel="0" collapsed="false">
      <c r="A20" s="5" t="s">
        <v>228</v>
      </c>
    </row>
    <row r="21" customFormat="false" ht="31.5" hidden="false" customHeight="true" outlineLevel="0" collapsed="false">
      <c r="A21" s="10" t="s">
        <v>72</v>
      </c>
      <c r="B21" s="10" t="s">
        <v>136</v>
      </c>
      <c r="C21" s="10" t="s">
        <v>75</v>
      </c>
    </row>
    <row r="22" customFormat="false" ht="15" hidden="false" customHeight="false" outlineLevel="0" collapsed="false">
      <c r="A22" s="19" t="str">
        <f aca="false">'Control Analysis'!B5</f>
        <v>Advanced API Security Gateway</v>
      </c>
      <c r="B22" s="40" t="n">
        <f aca="false">'Control Analysis'!H5</f>
        <v>350000</v>
      </c>
      <c r="C22" s="40" t="n">
        <f aca="false">'Control Analysis'!I5</f>
        <v>50000</v>
      </c>
    </row>
    <row r="23" customFormat="false" ht="15" hidden="false" customHeight="false" outlineLevel="0" collapsed="false">
      <c r="A23" s="19" t="str">
        <f aca="false">'Control Analysis'!B6</f>
        <v>Web Application Firewall (WAF)</v>
      </c>
      <c r="B23" s="40" t="n">
        <f aca="false">'Control Analysis'!H6</f>
        <v>150000</v>
      </c>
      <c r="C23" s="40" t="n">
        <f aca="false">'Control Analysis'!I6</f>
        <v>25000</v>
      </c>
    </row>
    <row r="24" customFormat="false" ht="15" hidden="false" customHeight="false" outlineLevel="0" collapsed="false">
      <c r="A24" s="19" t="str">
        <f aca="false">'Control Analysis'!B7</f>
        <v>Multi-Factor Authentication Enhancement</v>
      </c>
      <c r="B24" s="40" t="n">
        <f aca="false">'Control Analysis'!H7</f>
        <v>200000</v>
      </c>
      <c r="C24" s="40" t="n">
        <f aca="false">'Control Analysis'!I7</f>
        <v>30000</v>
      </c>
    </row>
    <row r="27" customFormat="false" ht="15" hidden="false" customHeight="false" outlineLevel="0" collapsed="false">
      <c r="A27" s="5" t="s">
        <v>229</v>
      </c>
    </row>
    <row r="28" customFormat="false" ht="31.5" hidden="false" customHeight="true" outlineLevel="0" collapsed="false">
      <c r="A28" s="10" t="s">
        <v>72</v>
      </c>
      <c r="B28" s="10" t="s">
        <v>138</v>
      </c>
    </row>
    <row r="29" customFormat="false" ht="15" hidden="false" customHeight="false" outlineLevel="0" collapsed="false">
      <c r="A29" s="19" t="str">
        <f aca="false">'Control Analysis'!B5</f>
        <v>Advanced API Security Gateway</v>
      </c>
      <c r="B29" s="21" t="n">
        <f aca="false">'Control Analysis'!K5</f>
        <v>0.6875</v>
      </c>
    </row>
    <row r="30" customFormat="false" ht="15" hidden="false" customHeight="false" outlineLevel="0" collapsed="false">
      <c r="A30" s="19" t="str">
        <f aca="false">'Control Analysis'!B6</f>
        <v>Web Application Firewall (WAF)</v>
      </c>
      <c r="B30" s="21" t="n">
        <f aca="false">'Control Analysis'!K6</f>
        <v>132.928571428571</v>
      </c>
    </row>
    <row r="31" customFormat="false" ht="15" hidden="false" customHeight="false" outlineLevel="0" collapsed="false">
      <c r="A31" s="19" t="str">
        <f aca="false">'Control Analysis'!B7</f>
        <v>Multi-Factor Authentication Enhancement</v>
      </c>
      <c r="B31" s="21" t="n">
        <f aca="false">'Control Analysis'!K7</f>
        <v>11.3913043478261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2026-10-26T08:53:34Z</dcterms:created>
  <dc:creator>openpyxl</dc:creator>
  <dc:description/>
  <dc:language>en-US</dc:language>
  <cp:lastModifiedBy/>
  <dcterms:modified xsi:type="dcterms:W3CDTF">2026-10-26T08:53:37Z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